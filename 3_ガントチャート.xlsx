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 filterPrivacy="1" updateLinks="always" codeName="ThisWorkbook"/>
  <xr:revisionPtr revIDLastSave="78" documentId="13_ncr:1_{7CAD5615-5207-45B1-96FF-D3D301EFA593}" xr6:coauthVersionLast="47" xr6:coauthVersionMax="47" xr10:uidLastSave="{115AD931-3BCA-41C5-A900-CC8255926E16}"/>
  <bookViews>
    <workbookView xWindow="-110" yWindow="-110" windowWidth="19420" windowHeight="11020" xr2:uid="{00000000-000D-0000-FFFF-FFFF00000000}"/>
  </bookViews>
  <sheets>
    <sheet name="プロジェクトのスケジュール" sheetId="14" r:id="rId1"/>
    <sheet name="祝日" sheetId="13" r:id="rId2"/>
    <sheet name="詳細情報" sheetId="12" r:id="rId3"/>
  </sheets>
  <externalReferences>
    <externalReference r:id="rId4"/>
  </externalReferences>
  <definedNames>
    <definedName name="_xlnm._FilterDatabase" localSheetId="0" hidden="1">プロジェクトのスケジュール!$A$1:$BM$114</definedName>
    <definedName name="_祝日" localSheetId="0">[1]祝日!$B$2:$D$26</definedName>
    <definedName name="_祝日">祝日!$B$2:$D$26</definedName>
    <definedName name="_xlnm.Print_Titles" localSheetId="0">プロジェクトのスケジュール!$4:$6</definedName>
    <definedName name="タスク_開始" localSheetId="0">プロジェクトのスケジュール!$E1</definedName>
    <definedName name="タスク_終了" localSheetId="0">プロジェクトのスケジュール!$F1</definedName>
    <definedName name="タスク_進捗状況" localSheetId="0">プロジェクトのスケジュール!$D1</definedName>
    <definedName name="プロジェクトの開始" localSheetId="0">プロジェクトのスケジュール!$E$3</definedName>
    <definedName name="プロジェクトの開始">#REF!</definedName>
    <definedName name="今日" localSheetId="0">TODAY()</definedName>
    <definedName name="週表示" localSheetId="0">プロジェクトのスケジュール!$E$4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4" l="1"/>
  <c r="E57" i="14"/>
  <c r="E58" i="14"/>
  <c r="E59" i="14"/>
  <c r="E60" i="14"/>
  <c r="E61" i="14"/>
  <c r="E62" i="14"/>
  <c r="E63" i="14"/>
  <c r="E64" i="14"/>
  <c r="D104" i="14"/>
  <c r="I53" i="14"/>
  <c r="D53" i="14"/>
  <c r="I51" i="14"/>
  <c r="D51" i="14"/>
  <c r="D39" i="14"/>
  <c r="I50" i="14"/>
  <c r="D50" i="14"/>
  <c r="H80" i="14"/>
  <c r="H7" i="14"/>
  <c r="D22" i="14"/>
  <c r="D105" i="14"/>
  <c r="D106" i="14"/>
  <c r="D107" i="14"/>
  <c r="D108" i="14"/>
  <c r="D109" i="14"/>
  <c r="D110" i="14"/>
  <c r="D111" i="14"/>
  <c r="D112" i="14"/>
  <c r="D113" i="14"/>
  <c r="D114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82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79" i="14"/>
  <c r="D79" i="14"/>
  <c r="I78" i="14"/>
  <c r="D78" i="14"/>
  <c r="I77" i="14"/>
  <c r="D77" i="14"/>
  <c r="I76" i="14"/>
  <c r="D76" i="14"/>
  <c r="I75" i="14"/>
  <c r="D75" i="14"/>
  <c r="I74" i="14"/>
  <c r="D74" i="14"/>
  <c r="I73" i="14"/>
  <c r="D73" i="14"/>
  <c r="I72" i="14"/>
  <c r="D72" i="14"/>
  <c r="I71" i="14"/>
  <c r="D71" i="14"/>
  <c r="I69" i="14"/>
  <c r="D69" i="14"/>
  <c r="I68" i="14"/>
  <c r="D68" i="14"/>
  <c r="I67" i="14"/>
  <c r="D67" i="14"/>
  <c r="I66" i="14"/>
  <c r="D66" i="14"/>
  <c r="I65" i="14"/>
  <c r="D65" i="14"/>
  <c r="I64" i="14"/>
  <c r="D64" i="14"/>
  <c r="I63" i="14"/>
  <c r="D63" i="14"/>
  <c r="I62" i="14"/>
  <c r="D62" i="14"/>
  <c r="I60" i="14"/>
  <c r="D60" i="14"/>
  <c r="I59" i="14"/>
  <c r="D59" i="14"/>
  <c r="I58" i="14"/>
  <c r="D58" i="14"/>
  <c r="I57" i="14"/>
  <c r="D57" i="14"/>
  <c r="I56" i="14"/>
  <c r="D56" i="14"/>
  <c r="I55" i="14"/>
  <c r="E55" i="14"/>
  <c r="F55" i="14" s="1"/>
  <c r="D55" i="14"/>
  <c r="I52" i="14"/>
  <c r="D52" i="14"/>
  <c r="I49" i="14"/>
  <c r="D49" i="14"/>
  <c r="I48" i="14"/>
  <c r="D48" i="14"/>
  <c r="I46" i="14"/>
  <c r="E46" i="14"/>
  <c r="F46" i="14" s="1"/>
  <c r="F45" i="14" s="1"/>
  <c r="D46" i="14"/>
  <c r="D45" i="14" s="1"/>
  <c r="I44" i="14"/>
  <c r="D44" i="14"/>
  <c r="I43" i="14"/>
  <c r="D43" i="14"/>
  <c r="I42" i="14"/>
  <c r="D42" i="14"/>
  <c r="I41" i="14"/>
  <c r="I40" i="14"/>
  <c r="D40" i="14"/>
  <c r="I39" i="14"/>
  <c r="I38" i="14"/>
  <c r="D38" i="14"/>
  <c r="I37" i="14"/>
  <c r="D37" i="14"/>
  <c r="I36" i="14"/>
  <c r="D36" i="14"/>
  <c r="I35" i="14"/>
  <c r="D35" i="14"/>
  <c r="I34" i="14"/>
  <c r="D34" i="14"/>
  <c r="I33" i="14"/>
  <c r="D33" i="14"/>
  <c r="I31" i="14"/>
  <c r="D31" i="14"/>
  <c r="I30" i="14"/>
  <c r="D30" i="14"/>
  <c r="I29" i="14"/>
  <c r="D29" i="14"/>
  <c r="I28" i="14"/>
  <c r="D28" i="14"/>
  <c r="I27" i="14"/>
  <c r="D27" i="14"/>
  <c r="I26" i="14"/>
  <c r="D26" i="14"/>
  <c r="I25" i="14"/>
  <c r="D25" i="14"/>
  <c r="I24" i="14"/>
  <c r="D24" i="14"/>
  <c r="I22" i="14"/>
  <c r="I21" i="14"/>
  <c r="D21" i="14"/>
  <c r="I20" i="14"/>
  <c r="D20" i="14"/>
  <c r="I19" i="14"/>
  <c r="D19" i="14"/>
  <c r="I18" i="14"/>
  <c r="D18" i="14"/>
  <c r="I17" i="14"/>
  <c r="D17" i="14"/>
  <c r="I15" i="14"/>
  <c r="D15" i="14"/>
  <c r="I14" i="14"/>
  <c r="D14" i="14"/>
  <c r="I12" i="14"/>
  <c r="D12" i="14"/>
  <c r="I11" i="14"/>
  <c r="D11" i="14"/>
  <c r="I10" i="14"/>
  <c r="D10" i="14"/>
  <c r="I9" i="14"/>
  <c r="D9" i="14"/>
  <c r="J5" i="14"/>
  <c r="K5" i="14" s="1"/>
  <c r="E45" i="14" l="1"/>
  <c r="D103" i="14"/>
  <c r="D47" i="14"/>
  <c r="I80" i="14"/>
  <c r="G80" i="14" s="1"/>
  <c r="D80" i="14" s="1"/>
  <c r="D54" i="14"/>
  <c r="D81" i="14"/>
  <c r="D13" i="14"/>
  <c r="D32" i="14"/>
  <c r="D61" i="14"/>
  <c r="D70" i="14"/>
  <c r="D23" i="14"/>
  <c r="D16" i="14"/>
  <c r="I7" i="14"/>
  <c r="G7" i="14" s="1"/>
  <c r="D7" i="14" s="1"/>
  <c r="D8" i="14"/>
  <c r="L5" i="14"/>
  <c r="K6" i="14"/>
  <c r="J6" i="14"/>
  <c r="J4" i="14"/>
  <c r="M5" i="14" l="1"/>
  <c r="L6" i="14"/>
  <c r="N5" i="14" l="1"/>
  <c r="M6" i="14"/>
  <c r="N6" i="14" l="1"/>
  <c r="O5" i="14"/>
  <c r="P5" i="14" l="1"/>
  <c r="O6" i="14"/>
  <c r="Q5" i="14" l="1"/>
  <c r="P6" i="14"/>
  <c r="Q4" i="14" l="1"/>
  <c r="R5" i="14"/>
  <c r="Q6" i="14"/>
  <c r="S5" i="14" l="1"/>
  <c r="R6" i="14"/>
  <c r="T5" i="14" l="1"/>
  <c r="S6" i="14"/>
  <c r="T6" i="14" l="1"/>
  <c r="U5" i="14"/>
  <c r="V5" i="14" l="1"/>
  <c r="U6" i="14"/>
  <c r="V6" i="14" l="1"/>
  <c r="W5" i="14"/>
  <c r="W6" i="14" l="1"/>
  <c r="X5" i="14"/>
  <c r="X4" i="14" l="1"/>
  <c r="X6" i="14"/>
  <c r="Y5" i="14"/>
  <c r="Z5" i="14" l="1"/>
  <c r="Y6" i="14"/>
  <c r="AA5" i="14" l="1"/>
  <c r="Z6" i="14"/>
  <c r="AB5" i="14" l="1"/>
  <c r="AA6" i="14"/>
  <c r="AC5" i="14" l="1"/>
  <c r="AB6" i="14"/>
  <c r="AD5" i="14" l="1"/>
  <c r="AC6" i="14"/>
  <c r="AD6" i="14" l="1"/>
  <c r="AE5" i="14"/>
  <c r="AE4" i="14" l="1"/>
  <c r="AF5" i="14"/>
  <c r="AE6" i="14"/>
  <c r="AG5" i="14" l="1"/>
  <c r="AF6" i="14"/>
  <c r="AH5" i="14" l="1"/>
  <c r="AG6" i="14"/>
  <c r="AI5" i="14" l="1"/>
  <c r="AH6" i="14"/>
  <c r="AJ5" i="14" l="1"/>
  <c r="AI6" i="14"/>
  <c r="AJ6" i="14" l="1"/>
  <c r="AK5" i="14"/>
  <c r="AL5" i="14" l="1"/>
  <c r="AK6" i="14"/>
  <c r="AL6" i="14" l="1"/>
  <c r="AL4" i="14"/>
  <c r="AM5" i="14"/>
  <c r="AM6" i="14" l="1"/>
  <c r="AN5" i="14"/>
  <c r="AN6" i="14" l="1"/>
  <c r="AO5" i="14"/>
  <c r="AP5" i="14" l="1"/>
  <c r="AO6" i="14"/>
  <c r="AQ5" i="14" l="1"/>
  <c r="AP6" i="14"/>
  <c r="AR5" i="14" l="1"/>
  <c r="AQ6" i="14"/>
  <c r="AS5" i="14" l="1"/>
  <c r="AR6" i="14"/>
  <c r="AT5" i="14" l="1"/>
  <c r="AS6" i="14"/>
  <c r="AS4" i="14"/>
  <c r="AT6" i="14" l="1"/>
  <c r="AU5" i="14"/>
  <c r="AU6" i="14" l="1"/>
  <c r="AV5" i="14"/>
  <c r="AW5" i="14" l="1"/>
  <c r="AV6" i="14"/>
  <c r="AX5" i="14" l="1"/>
  <c r="AW6" i="14"/>
  <c r="AY5" i="14" l="1"/>
  <c r="AX6" i="14"/>
  <c r="AZ5" i="14" l="1"/>
  <c r="AY6" i="14"/>
  <c r="AZ6" i="14" l="1"/>
  <c r="BA5" i="14"/>
  <c r="AZ4" i="14"/>
  <c r="BB5" i="14" l="1"/>
  <c r="BA6" i="14"/>
  <c r="BB6" i="14" l="1"/>
  <c r="BC5" i="14"/>
  <c r="BC6" i="14" l="1"/>
  <c r="BD5" i="14"/>
  <c r="BD6" i="14" l="1"/>
  <c r="BE5" i="14"/>
  <c r="BF5" i="14" l="1"/>
  <c r="BE6" i="14"/>
  <c r="BG5" i="14" l="1"/>
  <c r="BF6" i="14"/>
  <c r="BH5" i="14" l="1"/>
  <c r="BG6" i="14"/>
  <c r="BG4" i="14"/>
  <c r="BI5" i="14" l="1"/>
  <c r="BH6" i="14"/>
  <c r="BJ5" i="14" l="1"/>
  <c r="BI6" i="14"/>
  <c r="BJ6" i="14" l="1"/>
  <c r="BK5" i="14"/>
  <c r="BL5" i="14" l="1"/>
  <c r="BK6" i="14"/>
  <c r="BM5" i="14" l="1"/>
  <c r="BM6" i="14" s="1"/>
  <c r="BL6" i="14"/>
  <c r="F48" i="14" l="1"/>
  <c r="F56" i="14"/>
  <c r="F49" i="14" l="1"/>
  <c r="F57" i="14"/>
  <c r="F47" i="14" l="1"/>
  <c r="F58" i="14" l="1"/>
  <c r="F17" i="14" l="1"/>
  <c r="F59" i="14" l="1"/>
  <c r="F13" i="14" l="1"/>
  <c r="E13" i="14"/>
  <c r="F60" i="14" l="1"/>
  <c r="F62" i="14" l="1"/>
  <c r="F63" i="14" l="1"/>
  <c r="F28" i="14" l="1"/>
  <c r="F64" i="14" l="1"/>
  <c r="F29" i="14" l="1"/>
  <c r="F66" i="14" l="1"/>
  <c r="F67" i="14" l="1"/>
  <c r="F68" i="14" l="1"/>
  <c r="F69" i="14" l="1"/>
  <c r="F61" i="14" l="1"/>
  <c r="F71" i="14" l="1"/>
  <c r="F32" i="14" l="1"/>
  <c r="E32" i="14"/>
  <c r="F72" i="14" l="1"/>
  <c r="F73" i="14" l="1"/>
  <c r="F75" i="14" l="1"/>
  <c r="F76" i="14" l="1"/>
  <c r="F77" i="14" l="1"/>
  <c r="F78" i="14" l="1"/>
  <c r="F79" i="14" l="1"/>
  <c r="E70" i="14"/>
  <c r="F7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29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タスクを増やすときは、行の「挿入」をしてからセルの内容をコピーしてください。
また、I列もコピーしてください。
「コピーしたセルの挿入」をすると条件付き書式が徐々に壊れていきます。</t>
        </r>
      </text>
    </comment>
    <comment ref="A55" authorId="0" shapeId="0" xr:uid="{00000000-0006-0000-0000-000002000000}">
      <text>
        <r>
          <rPr>
            <sz val="9"/>
            <color indexed="81"/>
            <rFont val="MS P ゴシック"/>
            <family val="3"/>
            <charset val="128"/>
          </rPr>
          <t>タスクを増やすときは、行の「挿入」をしてからセルの内容をコピーしてください。
また、I列もコピーしてください。
「コピーしたセルの挿入」をすると条件付き書式が徐々に壊れていきます。</t>
        </r>
      </text>
    </comment>
  </commentList>
</comments>
</file>

<file path=xl/sharedStrings.xml><?xml version="1.0" encoding="utf-8"?>
<sst xmlns="http://schemas.openxmlformats.org/spreadsheetml/2006/main" count="244" uniqueCount="155">
  <si>
    <t>このワークシートでプロジェクトのスケジュール​​を作成します。
セル B1 には、このプロジェクトのタイトルを入力します。
このワークシートの使用方法に関する情報 (スクリーン リーダーの説明やブックの作成者など) は、"詳細情報" ワークシートに入ります。
列 A を下方に移動し続けると、さらに多くの情報を確認できます。</t>
  </si>
  <si>
    <t>得点管理システム</t>
    <rPh sb="0" eb="4">
      <t>トクテンカンリ</t>
    </rPh>
    <phoneticPr fontId="26"/>
  </si>
  <si>
    <t>セル B2 には会社の名前を入力します。</t>
  </si>
  <si>
    <t>チーム名：Aチーム</t>
    <phoneticPr fontId="26"/>
  </si>
  <si>
    <t>セル B3 に、プロジェクト主任の名前を入力します。セル E3 には、プロジェクトの開始日を入力します。プロジェクトの開始: ラベルはセル C3 にあります。</t>
  </si>
  <si>
    <t>リーダー：長谷川　智弘</t>
    <phoneticPr fontId="26"/>
  </si>
  <si>
    <t>プロジェクトの開始:</t>
  </si>
  <si>
    <t>セル E4 の週表示は、セル I4 のプロジェクトのスケジュールに表示する開始週を表します。プロジェクトの開始日は、第 1 週と見なされます。週表示を変更するには、セル E4 に新しい週番号を入力します。
セル E4 の週表示から始まる各週の開始日は、セル I4 から始まり、自動計算されます。このビューには、セル I4 からセル BF4 までの 8 週間が表示されます。
これらのセルは変更しないでください。
週表示: ラベルはセル C4 にあります。</t>
  </si>
  <si>
    <t>メンバー：齋藤　颯人、
髙田　陽斗、槻山　凜花、吉成　一慶</t>
    <phoneticPr fontId="26"/>
  </si>
  <si>
    <t>週表示:</t>
  </si>
  <si>
    <t>セル I5 から BL5 には、各日付のセルの上にあるセル ブロック内に表示される週の日付の数字が含まれており、自動的に計算が行われます。
これらのセルは変更しないでください。
今日の日付は、行 5 の今日の日付からプロジェクト スケジュールの最後まで日付列全体が赤 (16 進値 #AD3815) で囲まれます。</t>
  </si>
  <si>
    <t>この行には、その下に続くプロジェクトのスケジュールの見出しが含まれます。
コンテンツを読み上げるには、B6 から BL 6 に移動します。その見出しの上にある日付の各曜日の最初の文字が、セル I6 から始まってセル BL6 まで続きます。
すべてのプロジェクトのタイムライン グラフは、条件付き書式を使用して、入力された開始日と終了日に基づいて自動生成されます。
セル I7 から始まる列 I 以降の列のセルの内容を変更しないでください。</t>
  </si>
  <si>
    <t>タスク</t>
  </si>
  <si>
    <t>担当者</t>
    <phoneticPr fontId="26"/>
  </si>
  <si>
    <t>進捗状況</t>
  </si>
  <si>
    <t>開始</t>
  </si>
  <si>
    <t>終了</t>
  </si>
  <si>
    <t>残日数
見積</t>
    <rPh sb="0" eb="1">
      <t>ノコ</t>
    </rPh>
    <rPh sb="1" eb="3">
      <t>ニッスウ</t>
    </rPh>
    <rPh sb="4" eb="6">
      <t>ミツ</t>
    </rPh>
    <phoneticPr fontId="26"/>
  </si>
  <si>
    <t>計画
日数</t>
    <rPh sb="0" eb="2">
      <t>ケイカク</t>
    </rPh>
    <phoneticPr fontId="26"/>
  </si>
  <si>
    <t>計算</t>
    <rPh sb="0" eb="2">
      <t>ケイサン</t>
    </rPh>
    <phoneticPr fontId="26"/>
  </si>
  <si>
    <t>セル B8 には、フェーズ 1 のサンプルのタイトルが含まれます。
セル B8 に新しいタイトルを入力します。
プロジェクトに該当する場合は、セル C8 にフェーズを割り当てる名前を入力します。
プロジェクトに該当する場合は、セル D8 にフェーズ全体の進捗状況を入力します。
プロジェクトに該当する場合は、フェーズ全体の開始日と終了日をセル E8 と F8 に入力します。
ガント チャートは自動的に適切な日付を入力し、入力した進捗状況に応じて網かけを設定します。
フェーズを削除してタスクからのみ作業をするには、この行を削除するだけです。</t>
  </si>
  <si>
    <t>開発工程</t>
    <rPh sb="0" eb="4">
      <t>カイハツコウテイ</t>
    </rPh>
    <phoneticPr fontId="26"/>
  </si>
  <si>
    <t xml:space="preserve">セル B9 には、サンプル タスク "タスク 1" が含まれます。
セル B9 に、新しいタスク名を入力します。
セル C9 にタスクを割り当てるユーザーを入力します。
セル D9 のタスクの進捗状況を入力します。進行状況バーは、セル内に表示され、セルの数に従って網かけを適用します。たとえば、50% の進捗状況はセルの半分に網かけを設定します。
セル E9 にタスクの開始日を入力します。
セル F9 にタスクの終了日を入力します。
入力した日付の網かけのステータス バーは、セル I9 から始まる BL9 までのブロックに表示されます。 </t>
  </si>
  <si>
    <t>認証機能</t>
    <rPh sb="0" eb="4">
      <t>ニンショウキノウ</t>
    </rPh>
    <phoneticPr fontId="43"/>
  </si>
  <si>
    <t>行 10 から 13 は、行 9 のパターンを繰り返します。
このワークシート内のすべてのタスク行に対し、セル A9 の手順を繰り返します。サンプル データはすべて上書きします。
別のフェーズのサンプルは、セル A14 から始まります。
セル A10 から A13 までにタスクの入力を続けるか、セル A14 に移動して詳細を確認します。</t>
  </si>
  <si>
    <t>　　ログイン（画面）</t>
    <rPh sb="7" eb="9">
      <t>ガメン</t>
    </rPh>
    <phoneticPr fontId="43"/>
  </si>
  <si>
    <t>吉成</t>
    <rPh sb="0" eb="2">
      <t>ヨシナリ</t>
    </rPh>
    <phoneticPr fontId="26"/>
  </si>
  <si>
    <t>　　ログイン（サーブレット実装）</t>
  </si>
  <si>
    <t>　　ログアウト（画面）</t>
    <rPh sb="8" eb="10">
      <t>ガメン</t>
    </rPh>
    <phoneticPr fontId="43"/>
  </si>
  <si>
    <t>槻山</t>
  </si>
  <si>
    <t>　　ログアウト（サーブレット実装）</t>
    <rPh sb="14" eb="16">
      <t>ジッソウ</t>
    </rPh>
    <phoneticPr fontId="43"/>
  </si>
  <si>
    <t>メニュー</t>
    <phoneticPr fontId="43"/>
  </si>
  <si>
    <t>　　メインメニュー（画面）</t>
    <rPh sb="10" eb="12">
      <t>ガメン</t>
    </rPh>
    <phoneticPr fontId="26"/>
  </si>
  <si>
    <t>長谷川</t>
    <rPh sb="0" eb="3">
      <t>ハセガワ</t>
    </rPh>
    <phoneticPr fontId="26"/>
  </si>
  <si>
    <t>　　メインメニュー（サーブレット実装）</t>
    <rPh sb="16" eb="18">
      <t>ジッソウ</t>
    </rPh>
    <phoneticPr fontId="26"/>
  </si>
  <si>
    <t>学生管理機能</t>
    <rPh sb="0" eb="6">
      <t>ガクセイカンリキノウ</t>
    </rPh>
    <phoneticPr fontId="43"/>
  </si>
  <si>
    <t>　　学生一覧（画面）</t>
    <rPh sb="2" eb="6">
      <t>ガクセイイチラン</t>
    </rPh>
    <rPh sb="7" eb="9">
      <t>ガメン</t>
    </rPh>
    <phoneticPr fontId="26"/>
  </si>
  <si>
    <t>　　学生一覧（サーブレット実装）</t>
    <rPh sb="13" eb="15">
      <t>ジッソウ</t>
    </rPh>
    <phoneticPr fontId="26"/>
  </si>
  <si>
    <t>　　学生登録（画面）</t>
    <rPh sb="2" eb="4">
      <t>ガクセイ</t>
    </rPh>
    <rPh sb="4" eb="6">
      <t>トウロク</t>
    </rPh>
    <rPh sb="7" eb="9">
      <t>ガメン</t>
    </rPh>
    <phoneticPr fontId="43"/>
  </si>
  <si>
    <t>髙田</t>
    <rPh sb="0" eb="2">
      <t>タカダ</t>
    </rPh>
    <phoneticPr fontId="26"/>
  </si>
  <si>
    <t>　　学生登録（サーブレット実装）</t>
    <rPh sb="2" eb="6">
      <t>ガクセイトウロク</t>
    </rPh>
    <rPh sb="13" eb="15">
      <t>ジッソウ</t>
    </rPh>
    <phoneticPr fontId="43"/>
  </si>
  <si>
    <t>　　学生変更（画面）</t>
    <rPh sb="2" eb="6">
      <t>ガクセイヘンコウ</t>
    </rPh>
    <rPh sb="7" eb="9">
      <t>ガメン</t>
    </rPh>
    <phoneticPr fontId="26"/>
  </si>
  <si>
    <t>　　学生変更（サーブレット実装）</t>
  </si>
  <si>
    <t>科目管理機能</t>
    <rPh sb="0" eb="6">
      <t>カモクカンリキノウ</t>
    </rPh>
    <phoneticPr fontId="43"/>
  </si>
  <si>
    <t xml:space="preserve">  　科目一覧（画面）</t>
    <rPh sb="3" eb="5">
      <t>カモク</t>
    </rPh>
    <rPh sb="5" eb="7">
      <t>イチラン</t>
    </rPh>
    <rPh sb="8" eb="10">
      <t>ガメン</t>
    </rPh>
    <phoneticPr fontId="43"/>
  </si>
  <si>
    <t>齋藤</t>
    <rPh sb="0" eb="2">
      <t>サイトウ</t>
    </rPh>
    <phoneticPr fontId="26"/>
  </si>
  <si>
    <t>　　科目一覧（サーブレット実装）</t>
    <rPh sb="2" eb="4">
      <t>カモク</t>
    </rPh>
    <rPh sb="4" eb="6">
      <t>イチラン</t>
    </rPh>
    <rPh sb="13" eb="15">
      <t>ジッソウ</t>
    </rPh>
    <phoneticPr fontId="43"/>
  </si>
  <si>
    <t xml:space="preserve">  　科目登録（画面）</t>
    <rPh sb="3" eb="7">
      <t>カモクトウロク</t>
    </rPh>
    <rPh sb="8" eb="10">
      <t>ガメン</t>
    </rPh>
    <phoneticPr fontId="43"/>
  </si>
  <si>
    <t>　　科目登録（サーブレット実装）</t>
    <rPh sb="2" eb="6">
      <t>カモクトウロク</t>
    </rPh>
    <rPh sb="13" eb="15">
      <t>ジッソウ</t>
    </rPh>
    <phoneticPr fontId="43"/>
  </si>
  <si>
    <t>　　科目変更（画面）</t>
    <rPh sb="2" eb="6">
      <t>カモクヘンコウ</t>
    </rPh>
    <rPh sb="7" eb="9">
      <t>ガメン</t>
    </rPh>
    <phoneticPr fontId="26"/>
  </si>
  <si>
    <t>　　科目変更（サーブレット実装）</t>
    <rPh sb="2" eb="4">
      <t>カモク</t>
    </rPh>
    <rPh sb="4" eb="6">
      <t>ヘンコウ</t>
    </rPh>
    <rPh sb="13" eb="15">
      <t>ジッソウ</t>
    </rPh>
    <phoneticPr fontId="43"/>
  </si>
  <si>
    <t>　　科目削除（画面）</t>
    <rPh sb="2" eb="4">
      <t>カモク</t>
    </rPh>
    <rPh sb="4" eb="6">
      <t>サクジョ</t>
    </rPh>
    <rPh sb="7" eb="9">
      <t>ガメン</t>
    </rPh>
    <phoneticPr fontId="43"/>
  </si>
  <si>
    <t>　　科目削除（サーブレット実装）</t>
    <rPh sb="2" eb="4">
      <t>カモク</t>
    </rPh>
    <rPh sb="4" eb="6">
      <t>サクジョ</t>
    </rPh>
    <rPh sb="13" eb="15">
      <t>ジッソウ</t>
    </rPh>
    <phoneticPr fontId="43"/>
  </si>
  <si>
    <t>成績管理機能</t>
    <rPh sb="0" eb="6">
      <t>セイセキカンリキノウ</t>
    </rPh>
    <phoneticPr fontId="43"/>
  </si>
  <si>
    <t>　　成績管理一覧（画面）</t>
    <rPh sb="2" eb="4">
      <t>セイセキ</t>
    </rPh>
    <rPh sb="4" eb="6">
      <t>カンリ</t>
    </rPh>
    <rPh sb="6" eb="8">
      <t>イチラン</t>
    </rPh>
    <rPh sb="9" eb="11">
      <t>ガメン</t>
    </rPh>
    <phoneticPr fontId="43"/>
  </si>
  <si>
    <t>　　成績管理一覧（サーブレット実装）</t>
    <rPh sb="2" eb="4">
      <t>セイセキ</t>
    </rPh>
    <rPh sb="4" eb="8">
      <t>カンリイチラン</t>
    </rPh>
    <rPh sb="15" eb="17">
      <t>ジッソウ</t>
    </rPh>
    <phoneticPr fontId="43"/>
  </si>
  <si>
    <t>　　成績登録（画面）</t>
    <rPh sb="2" eb="6">
      <t>セイセキトウロク</t>
    </rPh>
    <rPh sb="7" eb="9">
      <t>ガメン</t>
    </rPh>
    <phoneticPr fontId="43"/>
  </si>
  <si>
    <t>　　成績登録（サーブレット実装）</t>
    <rPh sb="2" eb="4">
      <t>セイセキ</t>
    </rPh>
    <rPh sb="4" eb="6">
      <t>トウロク</t>
    </rPh>
    <rPh sb="13" eb="15">
      <t>ジッソウ</t>
    </rPh>
    <phoneticPr fontId="43"/>
  </si>
  <si>
    <t>　　成績変更（画面）</t>
    <rPh sb="2" eb="4">
      <t>セイセキ</t>
    </rPh>
    <rPh sb="4" eb="6">
      <t>ヘンコウ</t>
    </rPh>
    <rPh sb="7" eb="9">
      <t>ガメン</t>
    </rPh>
    <phoneticPr fontId="43"/>
  </si>
  <si>
    <t>　　成績変更（サーブレット実装）</t>
    <rPh sb="2" eb="4">
      <t>セイセキ</t>
    </rPh>
    <rPh sb="4" eb="6">
      <t>ヘンコウ</t>
    </rPh>
    <rPh sb="13" eb="15">
      <t>ジッソウ</t>
    </rPh>
    <phoneticPr fontId="43"/>
  </si>
  <si>
    <t>　　成績削除（画面）</t>
    <rPh sb="2" eb="6">
      <t>セイセキサクジョ</t>
    </rPh>
    <rPh sb="7" eb="9">
      <t>ガメン</t>
    </rPh>
    <phoneticPr fontId="26"/>
  </si>
  <si>
    <t>　　成績削除（サーブレット実装）</t>
    <rPh sb="2" eb="6">
      <t>セイセキサクジョ</t>
    </rPh>
    <rPh sb="13" eb="15">
      <t>ジッソウ</t>
    </rPh>
    <phoneticPr fontId="26"/>
  </si>
  <si>
    <t>　　科目別成績一覧（画面）</t>
    <rPh sb="2" eb="4">
      <t>カモク</t>
    </rPh>
    <rPh sb="4" eb="5">
      <t>ベツ</t>
    </rPh>
    <rPh sb="5" eb="7">
      <t>セイセキ</t>
    </rPh>
    <rPh sb="7" eb="9">
      <t>イチラン</t>
    </rPh>
    <rPh sb="10" eb="11">
      <t>ガ</t>
    </rPh>
    <rPh sb="11" eb="12">
      <t>メン</t>
    </rPh>
    <phoneticPr fontId="26"/>
  </si>
  <si>
    <t>　　科目別成績一覧（サーブレット実装）</t>
    <rPh sb="2" eb="5">
      <t>カモクベツ</t>
    </rPh>
    <rPh sb="5" eb="7">
      <t>セイセキ</t>
    </rPh>
    <rPh sb="7" eb="9">
      <t>イチラン</t>
    </rPh>
    <rPh sb="16" eb="18">
      <t>ジッソウ</t>
    </rPh>
    <phoneticPr fontId="26"/>
  </si>
  <si>
    <t>　　学生別成績一覧（画面）</t>
    <rPh sb="2" eb="5">
      <t>ガクセイベツ</t>
    </rPh>
    <rPh sb="5" eb="9">
      <t>セイセキイチラン</t>
    </rPh>
    <rPh sb="10" eb="12">
      <t>ガメン</t>
    </rPh>
    <phoneticPr fontId="26"/>
  </si>
  <si>
    <t>　　学生別成績一覧（サーブレット実装）</t>
    <rPh sb="2" eb="5">
      <t>ガクセイベツ</t>
    </rPh>
    <rPh sb="5" eb="9">
      <t>セイセキイチラン</t>
    </rPh>
    <rPh sb="16" eb="18">
      <t>ジッソウ</t>
    </rPh>
    <phoneticPr fontId="43"/>
  </si>
  <si>
    <t>エラー機能</t>
    <rPh sb="3" eb="5">
      <t>キノウ</t>
    </rPh>
    <phoneticPr fontId="26"/>
  </si>
  <si>
    <t>　　エラー表示（画面）</t>
    <rPh sb="5" eb="7">
      <t>ヒョウジ</t>
    </rPh>
    <rPh sb="8" eb="10">
      <t>ガメン</t>
    </rPh>
    <phoneticPr fontId="26"/>
  </si>
  <si>
    <t>共通機能</t>
    <rPh sb="0" eb="2">
      <t>キョウツウ</t>
    </rPh>
    <rPh sb="2" eb="4">
      <t>キノウ</t>
    </rPh>
    <phoneticPr fontId="26"/>
  </si>
  <si>
    <t>　　フロントコントローラ</t>
    <phoneticPr fontId="26"/>
  </si>
  <si>
    <t>授業</t>
    <rPh sb="0" eb="2">
      <t>ジュギョウ</t>
    </rPh>
    <phoneticPr fontId="26"/>
  </si>
  <si>
    <t>　　フィルター</t>
    <phoneticPr fontId="26"/>
  </si>
  <si>
    <t>　　CSS</t>
    <phoneticPr fontId="26"/>
  </si>
  <si>
    <t>　　ヘッダー・フッター</t>
    <phoneticPr fontId="26"/>
  </si>
  <si>
    <t>齋藤</t>
  </si>
  <si>
    <t>科目別・学生別　成績検索（画面）</t>
    <rPh sb="0" eb="2">
      <t>カモク</t>
    </rPh>
    <rPh sb="2" eb="3">
      <t>ベツ</t>
    </rPh>
    <rPh sb="4" eb="7">
      <t>ガクセイベツ</t>
    </rPh>
    <rPh sb="8" eb="10">
      <t>セイセキ</t>
    </rPh>
    <rPh sb="10" eb="12">
      <t>ケンサク</t>
    </rPh>
    <rPh sb="13" eb="15">
      <t>ガメン</t>
    </rPh>
    <phoneticPr fontId="26"/>
  </si>
  <si>
    <t>科目別・学生別　成績検索（サーブレット）</t>
    <rPh sb="0" eb="2">
      <t>カモク</t>
    </rPh>
    <rPh sb="2" eb="3">
      <t>ベツ</t>
    </rPh>
    <rPh sb="4" eb="7">
      <t>ガクセイベツ</t>
    </rPh>
    <rPh sb="8" eb="10">
      <t>セイセキ</t>
    </rPh>
    <rPh sb="10" eb="12">
      <t>ケンサク</t>
    </rPh>
    <phoneticPr fontId="26"/>
  </si>
  <si>
    <t>テーブル作成</t>
    <rPh sb="4" eb="6">
      <t>サクセイ</t>
    </rPh>
    <phoneticPr fontId="43"/>
  </si>
  <si>
    <t>　 クラス番号テーブル</t>
    <rPh sb="5" eb="7">
      <t>バンゴウ</t>
    </rPh>
    <phoneticPr fontId="42"/>
  </si>
  <si>
    <t>槻山</t>
    <rPh sb="0" eb="2">
      <t>ツキヤマ</t>
    </rPh>
    <phoneticPr fontId="26"/>
  </si>
  <si>
    <t xml:space="preserve"> 　学校テーブル</t>
    <rPh sb="2" eb="4">
      <t>ガッコウ</t>
    </rPh>
    <phoneticPr fontId="42"/>
  </si>
  <si>
    <t xml:space="preserve"> 　学生テーブル</t>
    <rPh sb="2" eb="4">
      <t>ガクセイ</t>
    </rPh>
    <phoneticPr fontId="42"/>
  </si>
  <si>
    <t xml:space="preserve"> 　科目テーブル</t>
    <rPh sb="2" eb="4">
      <t>カモク</t>
    </rPh>
    <phoneticPr fontId="42"/>
  </si>
  <si>
    <t xml:space="preserve"> 　教員テーブル</t>
    <rPh sb="2" eb="4">
      <t>キョウイン</t>
    </rPh>
    <phoneticPr fontId="42"/>
  </si>
  <si>
    <t xml:space="preserve"> 　得点テーブル</t>
    <rPh sb="2" eb="4">
      <t>トクテン</t>
    </rPh>
    <phoneticPr fontId="42"/>
  </si>
  <si>
    <t>DAO</t>
    <phoneticPr fontId="26"/>
  </si>
  <si>
    <t>　 クラス番号DAO</t>
    <rPh sb="5" eb="7">
      <t>バンゴウ</t>
    </rPh>
    <phoneticPr fontId="42"/>
  </si>
  <si>
    <t xml:space="preserve"> 　学校DAO</t>
    <rPh sb="2" eb="4">
      <t>ガッコウ</t>
    </rPh>
    <phoneticPr fontId="42"/>
  </si>
  <si>
    <t xml:space="preserve"> 　学生DAO</t>
    <rPh sb="2" eb="4">
      <t>ガクセイ</t>
    </rPh>
    <phoneticPr fontId="42"/>
  </si>
  <si>
    <t xml:space="preserve"> 　科目DAO</t>
    <rPh sb="2" eb="4">
      <t>カモク</t>
    </rPh>
    <phoneticPr fontId="42"/>
  </si>
  <si>
    <t xml:space="preserve"> 　教員DAO</t>
    <rPh sb="2" eb="4">
      <t>キョウイン</t>
    </rPh>
    <phoneticPr fontId="42"/>
  </si>
  <si>
    <t xml:space="preserve"> 　得点DAO</t>
    <rPh sb="2" eb="4">
      <t>トクテン</t>
    </rPh>
    <phoneticPr fontId="42"/>
  </si>
  <si>
    <t>　 学生別成績一覧DAO</t>
    <rPh sb="2" eb="5">
      <t>ガクセイベツ</t>
    </rPh>
    <rPh sb="5" eb="9">
      <t>セイセキイチラン</t>
    </rPh>
    <phoneticPr fontId="26"/>
  </si>
  <si>
    <t xml:space="preserve"> 　クラス別成績一覧DAO</t>
    <rPh sb="5" eb="6">
      <t>ベツ</t>
    </rPh>
    <rPh sb="6" eb="10">
      <t>セイセキイチラン</t>
    </rPh>
    <phoneticPr fontId="26"/>
  </si>
  <si>
    <t>Bean</t>
    <phoneticPr fontId="26"/>
  </si>
  <si>
    <t>　 クラス番号Bean</t>
    <rPh sb="5" eb="7">
      <t>バンゴウ</t>
    </rPh>
    <phoneticPr fontId="42"/>
  </si>
  <si>
    <t xml:space="preserve"> 　学校Bean</t>
    <rPh sb="2" eb="4">
      <t>ガッコウ</t>
    </rPh>
    <phoneticPr fontId="42"/>
  </si>
  <si>
    <t xml:space="preserve"> 　学生Bean</t>
    <rPh sb="2" eb="4">
      <t>ガクセイ</t>
    </rPh>
    <phoneticPr fontId="42"/>
  </si>
  <si>
    <t xml:space="preserve"> 　科目Bean</t>
    <rPh sb="2" eb="4">
      <t>カモク</t>
    </rPh>
    <phoneticPr fontId="42"/>
  </si>
  <si>
    <t xml:space="preserve"> 　教員Bean</t>
    <rPh sb="2" eb="4">
      <t>キョウイン</t>
    </rPh>
    <phoneticPr fontId="42"/>
  </si>
  <si>
    <t xml:space="preserve"> 　得点Bean</t>
    <rPh sb="2" eb="4">
      <t>トクテン</t>
    </rPh>
    <phoneticPr fontId="42"/>
  </si>
  <si>
    <t>　 学生別成績一覧Bean</t>
    <rPh sb="2" eb="5">
      <t>ガクセイベツ</t>
    </rPh>
    <rPh sb="5" eb="9">
      <t>セイセキイチラン</t>
    </rPh>
    <phoneticPr fontId="26"/>
  </si>
  <si>
    <t xml:space="preserve"> 　クラス別成績一覧Bean</t>
    <rPh sb="5" eb="6">
      <t>ベツ</t>
    </rPh>
    <rPh sb="6" eb="10">
      <t>セイセキイチラン</t>
    </rPh>
    <phoneticPr fontId="26"/>
  </si>
  <si>
    <t xml:space="preserve"> 　ユーザBean</t>
    <phoneticPr fontId="26"/>
  </si>
  <si>
    <t>大原次郎</t>
    <rPh sb="0" eb="2">
      <t>オオハラ</t>
    </rPh>
    <rPh sb="2" eb="4">
      <t>ジロウ</t>
    </rPh>
    <phoneticPr fontId="26"/>
  </si>
  <si>
    <t>右のセルには、フェーズ 2 のサンプルのタイトルが含まれます。
B 列に、いつでも新しいフェーズを作成できます。このプロジェクトのスケジュールには、フェーズは不要です。フェーズを削除するには、行を削除するだけです。
この行に新しいフェーズ ブロックを作成するには、右のセルに新しいタイトルを入力します。
上記のフェーズにタスクの追加を続けるには、この行の 1 つ上に新しい行を入力し、セル A9 の説明のようにタスク データを入力します。
セル A8 の説明に基づいて右側のセルのフェーズの詳細情報を更新します。
詳細については、A 列のセルを下に移動します。
このワークシートに新しい行を追加していない場合は、セル B20 と B26 に 2 つの追加のサンプル フェーズ ブロックが作成され表示されます。それ以外の場合、A 列のセルを移動して追加のブロックを探します。
必要に応じて、セル A8 と A9 の手順を繰り返します。</t>
  </si>
  <si>
    <t>テスト工程</t>
    <rPh sb="3" eb="5">
      <t>コウテイ</t>
    </rPh>
    <phoneticPr fontId="26"/>
  </si>
  <si>
    <t>単体テスト</t>
    <rPh sb="0" eb="2">
      <t>タンタイ</t>
    </rPh>
    <phoneticPr fontId="19"/>
  </si>
  <si>
    <t>　　ログイン</t>
    <phoneticPr fontId="26"/>
  </si>
  <si>
    <t>髙田</t>
    <phoneticPr fontId="26"/>
  </si>
  <si>
    <t>　　ログアウト</t>
    <phoneticPr fontId="26"/>
  </si>
  <si>
    <t>　　メインメニュー</t>
    <phoneticPr fontId="26"/>
  </si>
  <si>
    <t>　　学生管理一覧</t>
    <rPh sb="2" eb="8">
      <t>ガクセイカンリイチラン</t>
    </rPh>
    <phoneticPr fontId="1"/>
  </si>
  <si>
    <t>　　学生登録</t>
    <rPh sb="2" eb="4">
      <t>ガクセイ</t>
    </rPh>
    <rPh sb="4" eb="6">
      <t>トウロク</t>
    </rPh>
    <phoneticPr fontId="1"/>
  </si>
  <si>
    <t>　　学生登録完了</t>
    <rPh sb="2" eb="4">
      <t>ガクセイ</t>
    </rPh>
    <rPh sb="4" eb="6">
      <t>トウロク</t>
    </rPh>
    <rPh sb="6" eb="8">
      <t>カンリョウ</t>
    </rPh>
    <phoneticPr fontId="1"/>
  </si>
  <si>
    <t>　　学生変更</t>
    <rPh sb="2" eb="4">
      <t>ガクセイ</t>
    </rPh>
    <rPh sb="4" eb="6">
      <t>ヘンコウ</t>
    </rPh>
    <phoneticPr fontId="1"/>
  </si>
  <si>
    <t>　　学生変更完了</t>
    <rPh sb="2" eb="4">
      <t>ガクセイ</t>
    </rPh>
    <rPh sb="4" eb="6">
      <t>ヘンコウ</t>
    </rPh>
    <rPh sb="6" eb="8">
      <t>カンリョウ</t>
    </rPh>
    <phoneticPr fontId="1"/>
  </si>
  <si>
    <t>　　成績管理一覧</t>
    <rPh sb="2" eb="4">
      <t>セイセキ</t>
    </rPh>
    <rPh sb="4" eb="6">
      <t>カンリ</t>
    </rPh>
    <rPh sb="6" eb="8">
      <t>イチラン</t>
    </rPh>
    <phoneticPr fontId="1"/>
  </si>
  <si>
    <t>　　成績登録完了</t>
    <rPh sb="2" eb="8">
      <t>セイセキトウロクカンリョウ</t>
    </rPh>
    <phoneticPr fontId="1"/>
  </si>
  <si>
    <t>　　成績参照検索</t>
    <rPh sb="2" eb="4">
      <t>セイセキ</t>
    </rPh>
    <rPh sb="4" eb="6">
      <t>サンショウ</t>
    </rPh>
    <rPh sb="6" eb="8">
      <t>ケンサク</t>
    </rPh>
    <phoneticPr fontId="1"/>
  </si>
  <si>
    <t>　　科目別成績一覧</t>
    <phoneticPr fontId="26"/>
  </si>
  <si>
    <t>　　学生別成績一覧</t>
    <rPh sb="2" eb="4">
      <t>ガクセイ</t>
    </rPh>
    <rPh sb="4" eb="5">
      <t>ベツ</t>
    </rPh>
    <rPh sb="5" eb="9">
      <t>セイセキイチラン</t>
    </rPh>
    <phoneticPr fontId="1"/>
  </si>
  <si>
    <t>　　科目管理一覧</t>
    <rPh sb="2" eb="8">
      <t>カモクカンリイチラン</t>
    </rPh>
    <phoneticPr fontId="1"/>
  </si>
  <si>
    <t>　　科目登録</t>
    <rPh sb="2" eb="4">
      <t>カモク</t>
    </rPh>
    <rPh sb="4" eb="6">
      <t>トウロク</t>
    </rPh>
    <phoneticPr fontId="1"/>
  </si>
  <si>
    <t>　　科目登録完了</t>
    <rPh sb="2" eb="4">
      <t>カモク</t>
    </rPh>
    <rPh sb="4" eb="6">
      <t>トウロク</t>
    </rPh>
    <rPh sb="6" eb="8">
      <t>カンリョウ</t>
    </rPh>
    <phoneticPr fontId="1"/>
  </si>
  <si>
    <t>　　科目変更</t>
    <rPh sb="2" eb="4">
      <t>カモク</t>
    </rPh>
    <rPh sb="4" eb="6">
      <t>ヘンコウ</t>
    </rPh>
    <phoneticPr fontId="1"/>
  </si>
  <si>
    <t>　　科目変更完了</t>
    <rPh sb="2" eb="4">
      <t>カモク</t>
    </rPh>
    <rPh sb="4" eb="6">
      <t>ヘンコウ</t>
    </rPh>
    <rPh sb="6" eb="8">
      <t>カンリョウ</t>
    </rPh>
    <phoneticPr fontId="1"/>
  </si>
  <si>
    <t>　　科目削除</t>
    <rPh sb="2" eb="4">
      <t>カモク</t>
    </rPh>
    <rPh sb="4" eb="6">
      <t>サクジョ</t>
    </rPh>
    <phoneticPr fontId="1"/>
  </si>
  <si>
    <t>　　科目削除完了</t>
    <rPh sb="2" eb="4">
      <t>カモク</t>
    </rPh>
    <rPh sb="4" eb="6">
      <t>サクジョ</t>
    </rPh>
    <rPh sb="6" eb="8">
      <t>カンリョウ</t>
    </rPh>
    <phoneticPr fontId="1"/>
  </si>
  <si>
    <t>　　エラーページ</t>
    <phoneticPr fontId="26"/>
  </si>
  <si>
    <t>システムテスト</t>
  </si>
  <si>
    <t>　　学生登録</t>
    <phoneticPr fontId="26"/>
  </si>
  <si>
    <t>　　学生変更</t>
    <phoneticPr fontId="26"/>
  </si>
  <si>
    <t>　　科目登録</t>
    <phoneticPr fontId="26"/>
  </si>
  <si>
    <t>　　科目変更</t>
    <phoneticPr fontId="26"/>
  </si>
  <si>
    <t>　　科目削除</t>
    <phoneticPr fontId="26"/>
  </si>
  <si>
    <t>　　成績登録</t>
    <phoneticPr fontId="26"/>
  </si>
  <si>
    <t>　　成績変更</t>
    <phoneticPr fontId="26"/>
  </si>
  <si>
    <t>　　成績参照（科目、クラス毎）</t>
    <phoneticPr fontId="26"/>
  </si>
  <si>
    <t>　　成績参照（学生毎）</t>
    <phoneticPr fontId="26"/>
  </si>
  <si>
    <t>シンプル ガント チャート (Vertex42.com)</t>
  </si>
  <si>
    <t>https://www.vertex42.com/ExcelTemplates/simple-gantt-chart.html</t>
  </si>
  <si>
    <t>このテンプレートについて</t>
  </si>
  <si>
    <t>このテンプレートを使用すると、プロジェクトの視覚化と管理に役立つガント チャートを簡単な方法で作成できます。タスクと開始日、終了日を入力するだけです。数式の入力は必要はありません。ガント チャートのバーは、タスクの期間を表し、条件付き書式を使用して表示されます。新しいタスクを挿入するには、新しい行を挿入します。</t>
  </si>
  <si>
    <t>スクリーン リーダーのガイド</t>
  </si>
  <si>
    <t>このブックには 2 つのワークシートがあります。
タイムシート
詳細情報
各ワークシートの説明は、各ワークシートの A 列のセル A1 から始まります。非表示のテキストで書き込まれます。各手順では、その行に含まれる情報について説明しています。明示的な指示がない限り、後続の各手順はセル A2、セル A3 といった順に格納されています。たとえば、説明テキストに、次の手順について "セル A6 に続く" と記載されている場合があります。
この非表示のテキストは印刷されません。
ワークシートからこれらの説明を削除する場合は、A 列を削除するだけです。</t>
  </si>
  <si>
    <t>その他のヘルプ</t>
  </si>
  <si>
    <t>以下のリンクから Vertex42.com にアクセスし、このテンプレートの使用方法を詳しく学びます。たとえば、日数と稼働日の計算、タスクの依存関係を作成する、バーの色の変更、週表示を簡単に変更するためのスクロール バーを追加する方法、グラフに表示される日付範囲の拡大方法など。</t>
  </si>
  <si>
    <t>シンプル ガント チャートの使用方法</t>
  </si>
  <si>
    <t>その他のプロジェクト管理テンプレート</t>
  </si>
  <si>
    <t>Vertex42.com にアクセスして、さまざまな種類のプロジェクト スケジュール、ガント チャート、タスク リストなどのその他のプロジェクト管理テンプレートをダウンロードしてください。</t>
  </si>
  <si>
    <t>プロジェクト管理テンプレート</t>
  </si>
  <si>
    <t>Vertex42 について</t>
  </si>
  <si>
    <t>Vertex42.com では、企業、家庭、教育用に 300 を超える本格的なデザインのスプレッドシート テンプレートを提供しています。この大部分は無料でダウンロードすることができます。Vertex42.com のコレクションには、各種のカレンダー、プランナー、スケジュールに加えて、予算作成、債務削減、ローン返済用の個人の財務に関するスプレッドシートも含まれています。</t>
  </si>
  <si>
    <t>企業向けには、請求書、タイム シート、在庫管理、財務諸表、プロジェクト計画策定テンプレートがあります。学生と教師向けには、授業計画表、成績表、出席簿などのリソースがあります。献立表、チェックリスト、運動記録を使用して家族の生活を整理しましょう。各テンプレートは、数千のユーザーからのフィードバックを基に時間をかけて十分に研究、調整、改良されたもの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</si>
</sst>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</numFmts>
  <fonts count="47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b/>
      <sz val="20"/>
      <color theme="4" tint="-0.249977111117893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sz val="9"/>
      <name val="Meiryo UI"/>
      <family val="2"/>
    </font>
    <font>
      <b/>
      <sz val="9"/>
      <color theme="0"/>
      <name val="Meiryo UI"/>
      <family val="2"/>
    </font>
    <font>
      <sz val="8"/>
      <color theme="0"/>
      <name val="Meiryo UI"/>
      <family val="2"/>
    </font>
    <font>
      <sz val="11"/>
      <name val="Meiryo UI"/>
      <family val="2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b/>
      <sz val="12"/>
      <color theme="1" tint="0.34998626667073579"/>
      <name val="Meiryo UI"/>
      <family val="3"/>
      <charset val="128"/>
    </font>
    <font>
      <b/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theme="1" tint="0.499984740745262"/>
      <name val="Meiryo UI"/>
      <family val="3"/>
      <charset val="128"/>
    </font>
    <font>
      <b/>
      <sz val="16"/>
      <color theme="4" tint="-0.249977111117893"/>
      <name val="Meiryo UI"/>
      <family val="3"/>
      <charset val="128"/>
    </font>
    <font>
      <sz val="20"/>
      <name val="Meiryo UI"/>
      <family val="3"/>
      <charset val="128"/>
    </font>
    <font>
      <sz val="11"/>
      <color rgb="FF1D2129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indexed="12"/>
      <name val="Meiryo UI"/>
      <family val="3"/>
      <charset val="128"/>
    </font>
    <font>
      <sz val="9"/>
      <color theme="0" tint="-0.249977111117893"/>
      <name val="Meiryo UI"/>
      <family val="2"/>
    </font>
    <font>
      <b/>
      <sz val="9"/>
      <color theme="0" tint="-0.34998626667073579"/>
      <name val="Meiryo UI"/>
      <family val="2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9"/>
      <color indexed="81"/>
      <name val="MS P ゴシック"/>
      <family val="3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9"/>
      <color theme="0" tint="-0.249977111117893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4"/>
      <color theme="1"/>
      <name val="メイリオ"/>
      <family val="3"/>
      <charset val="128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3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3">
      <alignment horizontal="center" vertical="center"/>
    </xf>
    <xf numFmtId="178" fontId="1" fillId="0" borderId="2" applyFill="0">
      <alignment horizontal="center" vertical="center"/>
    </xf>
    <xf numFmtId="0" fontId="1" fillId="0" borderId="2" applyFill="0">
      <alignment horizontal="center" vertical="center"/>
    </xf>
    <xf numFmtId="0" fontId="1" fillId="0" borderId="2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9" borderId="0" applyNumberFormat="0" applyBorder="0" applyAlignment="0" applyProtection="0"/>
    <xf numFmtId="0" fontId="3" fillId="10" borderId="0" applyNumberFormat="0" applyBorder="0" applyAlignment="0" applyProtection="0"/>
    <xf numFmtId="0" fontId="14" fillId="11" borderId="0" applyNumberFormat="0" applyBorder="0" applyAlignment="0" applyProtection="0"/>
    <xf numFmtId="0" fontId="12" fillId="12" borderId="11" applyNumberFormat="0" applyAlignment="0" applyProtection="0"/>
    <xf numFmtId="0" fontId="15" fillId="13" borderId="12" applyNumberFormat="0" applyAlignment="0" applyProtection="0"/>
    <xf numFmtId="0" fontId="4" fillId="13" borderId="11" applyNumberFormat="0" applyAlignment="0" applyProtection="0"/>
    <xf numFmtId="0" fontId="13" fillId="0" borderId="13" applyNumberFormat="0" applyFill="0" applyAlignment="0" applyProtection="0"/>
    <xf numFmtId="0" fontId="5" fillId="14" borderId="14" applyNumberFormat="0" applyAlignment="0" applyProtection="0"/>
    <xf numFmtId="0" fontId="18" fillId="0" borderId="0" applyNumberFormat="0" applyFill="0" applyBorder="0" applyAlignment="0" applyProtection="0"/>
    <xf numFmtId="0" fontId="1" fillId="15" borderId="15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16" applyNumberFormat="0" applyFill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2" fillId="0" borderId="0" xfId="3"/>
    <xf numFmtId="0" fontId="2" fillId="0" borderId="0" xfId="3" applyAlignment="1">
      <alignment wrapText="1"/>
    </xf>
    <xf numFmtId="0" fontId="16" fillId="0" borderId="0" xfId="5" applyAlignment="1">
      <alignment horizontal="left"/>
    </xf>
    <xf numFmtId="0" fontId="1" fillId="5" borderId="2" xfId="11" applyFill="1">
      <alignment horizontal="center" vertical="center"/>
    </xf>
    <xf numFmtId="0" fontId="1" fillId="6" borderId="2" xfId="11" applyFill="1">
      <alignment horizontal="center" vertical="center"/>
    </xf>
    <xf numFmtId="0" fontId="0" fillId="0" borderId="10" xfId="0" applyBorder="1"/>
    <xf numFmtId="0" fontId="19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0" fillId="0" borderId="0" xfId="1" applyFont="1" applyProtection="1">
      <alignment vertical="top"/>
    </xf>
    <xf numFmtId="0" fontId="23" fillId="8" borderId="1" xfId="0" applyFont="1" applyFill="1" applyBorder="1" applyAlignment="1">
      <alignment horizontal="left" vertical="center" indent="1"/>
    </xf>
    <xf numFmtId="0" fontId="23" fillId="8" borderId="1" xfId="0" applyFont="1" applyFill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shrinkToFit="1"/>
    </xf>
    <xf numFmtId="0" fontId="17" fillId="5" borderId="2" xfId="0" applyFont="1" applyFill="1" applyBorder="1" applyAlignment="1">
      <alignment horizontal="left" vertical="center" indent="1"/>
    </xf>
    <xf numFmtId="0" fontId="25" fillId="0" borderId="2" xfId="0" applyFont="1" applyBorder="1" applyAlignment="1">
      <alignment horizontal="center" vertical="center"/>
    </xf>
    <xf numFmtId="9" fontId="25" fillId="2" borderId="2" xfId="2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 indent="1"/>
    </xf>
    <xf numFmtId="9" fontId="25" fillId="3" borderId="2" xfId="2" applyFont="1" applyFill="1" applyBorder="1" applyAlignment="1">
      <alignment horizontal="center" vertical="center"/>
    </xf>
    <xf numFmtId="0" fontId="27" fillId="0" borderId="0" xfId="0" applyFont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27" fillId="0" borderId="0" xfId="0" applyFont="1" applyAlignment="1">
      <alignment horizontal="left" vertical="top"/>
    </xf>
    <xf numFmtId="0" fontId="32" fillId="0" borderId="0" xfId="0" applyFont="1" applyAlignment="1">
      <alignment vertical="center"/>
    </xf>
    <xf numFmtId="0" fontId="33" fillId="0" borderId="0" xfId="0" applyFont="1"/>
    <xf numFmtId="0" fontId="34" fillId="0" borderId="0" xfId="0" applyFont="1" applyAlignment="1">
      <alignment horizontal="left" vertical="top" wrapText="1" indent="1"/>
    </xf>
    <xf numFmtId="0" fontId="35" fillId="0" borderId="0" xfId="0" applyFont="1" applyAlignment="1">
      <alignment vertical="top" wrapText="1"/>
    </xf>
    <xf numFmtId="0" fontId="36" fillId="0" borderId="0" xfId="1" applyFont="1" applyAlignment="1" applyProtection="1">
      <alignment horizontal="left" vertical="top"/>
    </xf>
    <xf numFmtId="180" fontId="22" fillId="4" borderId="6" xfId="0" applyNumberFormat="1" applyFont="1" applyFill="1" applyBorder="1" applyAlignment="1">
      <alignment horizontal="center" vertical="center"/>
    </xf>
    <xf numFmtId="180" fontId="22" fillId="4" borderId="0" xfId="0" applyNumberFormat="1" applyFont="1" applyFill="1" applyAlignment="1">
      <alignment horizontal="center" vertical="center"/>
    </xf>
    <xf numFmtId="180" fontId="22" fillId="4" borderId="7" xfId="0" applyNumberFormat="1" applyFont="1" applyFill="1" applyBorder="1" applyAlignment="1">
      <alignment horizontal="center" vertical="center"/>
    </xf>
    <xf numFmtId="0" fontId="0" fillId="40" borderId="17" xfId="0" applyFill="1" applyBorder="1"/>
    <xf numFmtId="14" fontId="0" fillId="0" borderId="0" xfId="0" applyNumberFormat="1"/>
    <xf numFmtId="0" fontId="37" fillId="0" borderId="2" xfId="0" applyFont="1" applyBorder="1" applyAlignment="1">
      <alignment horizontal="center" vertical="center"/>
    </xf>
    <xf numFmtId="0" fontId="38" fillId="8" borderId="0" xfId="0" applyFont="1" applyFill="1" applyAlignment="1">
      <alignment horizontal="center" vertical="center" wrapText="1"/>
    </xf>
    <xf numFmtId="181" fontId="1" fillId="2" borderId="2" xfId="10" applyNumberFormat="1" applyFill="1">
      <alignment horizontal="center" vertical="center"/>
    </xf>
    <xf numFmtId="181" fontId="39" fillId="5" borderId="2" xfId="0" applyNumberFormat="1" applyFont="1" applyFill="1" applyBorder="1" applyAlignment="1">
      <alignment horizontal="center" vertical="center"/>
    </xf>
    <xf numFmtId="181" fontId="40" fillId="5" borderId="2" xfId="0" applyNumberFormat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81" fontId="39" fillId="6" borderId="2" xfId="11" applyNumberFormat="1" applyFont="1" applyFill="1">
      <alignment horizontal="center" vertical="center"/>
    </xf>
    <xf numFmtId="9" fontId="40" fillId="5" borderId="2" xfId="2" applyFont="1" applyFill="1" applyBorder="1" applyAlignment="1">
      <alignment horizontal="center" vertical="center"/>
    </xf>
    <xf numFmtId="9" fontId="40" fillId="6" borderId="2" xfId="2" applyFont="1" applyFill="1" applyBorder="1" applyAlignment="1">
      <alignment horizontal="center" vertical="center"/>
    </xf>
    <xf numFmtId="0" fontId="0" fillId="2" borderId="2" xfId="12" applyFont="1" applyFill="1">
      <alignment horizontal="left" vertical="center" indent="2"/>
    </xf>
    <xf numFmtId="0" fontId="39" fillId="2" borderId="2" xfId="12" applyFont="1" applyFill="1">
      <alignment horizontal="left" vertical="center" indent="2"/>
    </xf>
    <xf numFmtId="0" fontId="35" fillId="2" borderId="2" xfId="12" applyFont="1" applyFill="1">
      <alignment horizontal="left" vertical="center" indent="2"/>
    </xf>
    <xf numFmtId="0" fontId="0" fillId="2" borderId="2" xfId="11" applyFont="1" applyFill="1">
      <alignment horizontal="center" vertical="center"/>
    </xf>
    <xf numFmtId="0" fontId="0" fillId="3" borderId="2" xfId="12" applyFont="1" applyFill="1">
      <alignment horizontal="left" vertical="center" indent="2"/>
    </xf>
    <xf numFmtId="0" fontId="39" fillId="3" borderId="2" xfId="12" applyFont="1" applyFill="1">
      <alignment horizontal="left" vertical="center" indent="2"/>
    </xf>
    <xf numFmtId="0" fontId="39" fillId="2" borderId="2" xfId="11" applyFont="1" applyFill="1">
      <alignment horizontal="center" vertical="center"/>
    </xf>
    <xf numFmtId="9" fontId="40" fillId="2" borderId="2" xfId="2" applyFont="1" applyFill="1" applyBorder="1" applyAlignment="1">
      <alignment horizontal="center" vertical="center"/>
    </xf>
    <xf numFmtId="181" fontId="39" fillId="2" borderId="2" xfId="10" applyNumberFormat="1" applyFont="1" applyFill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0" xfId="3" applyFont="1"/>
    <xf numFmtId="0" fontId="46" fillId="0" borderId="0" xfId="6" applyFont="1"/>
    <xf numFmtId="0" fontId="46" fillId="0" borderId="0" xfId="7" applyFont="1">
      <alignment vertical="top"/>
    </xf>
    <xf numFmtId="0" fontId="39" fillId="3" borderId="2" xfId="11" applyFont="1" applyFill="1">
      <alignment horizontal="center" vertical="center"/>
    </xf>
    <xf numFmtId="9" fontId="40" fillId="3" borderId="2" xfId="2" applyFont="1" applyFill="1" applyBorder="1" applyAlignment="1">
      <alignment horizontal="center" vertical="center"/>
    </xf>
    <xf numFmtId="181" fontId="39" fillId="3" borderId="2" xfId="10" applyNumberFormat="1" applyFont="1" applyFill="1">
      <alignment horizontal="center" vertical="center"/>
    </xf>
    <xf numFmtId="0" fontId="35" fillId="3" borderId="2" xfId="12" applyFont="1" applyFill="1">
      <alignment horizontal="left" vertical="center" indent="2"/>
    </xf>
    <xf numFmtId="0" fontId="0" fillId="3" borderId="2" xfId="11" applyFont="1" applyFill="1">
      <alignment horizontal="center" vertical="center"/>
    </xf>
    <xf numFmtId="181" fontId="0" fillId="2" borderId="2" xfId="10" applyNumberFormat="1" applyFont="1" applyFill="1">
      <alignment horizontal="center" vertical="center"/>
    </xf>
    <xf numFmtId="0" fontId="0" fillId="0" borderId="0" xfId="0" applyAlignment="1">
      <alignment wrapText="1"/>
    </xf>
    <xf numFmtId="14" fontId="0" fillId="4" borderId="4" xfId="0" applyNumberFormat="1" applyFill="1" applyBorder="1" applyAlignment="1">
      <alignment horizontal="left" vertical="center" wrapText="1" indent="1"/>
    </xf>
    <xf numFmtId="14" fontId="0" fillId="4" borderId="1" xfId="0" applyNumberFormat="1" applyFill="1" applyBorder="1" applyAlignment="1">
      <alignment horizontal="left" vertical="center" wrapText="1" indent="1"/>
    </xf>
    <xf numFmtId="14" fontId="0" fillId="4" borderId="5" xfId="0" applyNumberFormat="1" applyFill="1" applyBorder="1" applyAlignment="1">
      <alignment horizontal="left" vertical="center" wrapText="1" indent="1"/>
    </xf>
    <xf numFmtId="0" fontId="1" fillId="0" borderId="0" xfId="8" applyAlignment="1">
      <alignment horizontal="right" indent="1"/>
    </xf>
    <xf numFmtId="0" fontId="1" fillId="0" borderId="7" xfId="8" applyBorder="1" applyAlignment="1">
      <alignment horizontal="right" indent="1"/>
    </xf>
    <xf numFmtId="31" fontId="1" fillId="0" borderId="3" xfId="9" applyNumberFormat="1" applyAlignment="1">
      <alignment horizontal="center" vertical="center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00000000-0005-0000-0000-000012000000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00000000-0005-0000-0000-00001A000000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00000000-0005-0000-0000-00001F000000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00000000-0005-0000-0000-000030000000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00000000-0005-0000-0000-000034000000}"/>
    <cellStyle name="良い" xfId="18" builtinId="26" customBuiltin="1"/>
  </cellStyles>
  <dxfs count="13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 patternType="lightUp">
          <f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  <tableStyleElement type="second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simple-gantt-chart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0</xdr:col>
      <xdr:colOff>1905000</xdr:colOff>
      <xdr:row>0</xdr:row>
      <xdr:rowOff>523875</xdr:rowOff>
    </xdr:to>
    <xdr:pic>
      <xdr:nvPicPr>
        <xdr:cNvPr id="2" name="画像 1" descr="Vertex42 ロゴ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38EF3-2DAE-40BC-A45A-2B8C536F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5250"/>
          <a:ext cx="1905000" cy="428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5299;&#35500;&#26360;&#20316;&#25104;&#29992;_WBS&#12460;&#12531;&#12488;&#12481;&#12515;&#12540;&#12488;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ンプレート"/>
      <sheetName val="プロジェクトのスケジュール"/>
      <sheetName val="祝日"/>
      <sheetName val="詳細情報"/>
      <sheetName val="プロジェクトのスケジュール (4)"/>
    </sheetNames>
    <sheetDataSet>
      <sheetData sheetId="0" refreshError="1"/>
      <sheetData sheetId="1" refreshError="1"/>
      <sheetData sheetId="2" refreshError="1">
        <row r="2">
          <cell r="B2">
            <v>44562</v>
          </cell>
          <cell r="C2">
            <v>44927</v>
          </cell>
          <cell r="D2">
            <v>45292</v>
          </cell>
        </row>
        <row r="3">
          <cell r="B3">
            <v>44563</v>
          </cell>
          <cell r="C3">
            <v>44928</v>
          </cell>
          <cell r="D3">
            <v>45293</v>
          </cell>
        </row>
        <row r="4">
          <cell r="B4">
            <v>44564</v>
          </cell>
          <cell r="C4">
            <v>44929</v>
          </cell>
          <cell r="D4">
            <v>45294</v>
          </cell>
        </row>
        <row r="5">
          <cell r="B5">
            <v>44571</v>
          </cell>
          <cell r="C5">
            <v>44935</v>
          </cell>
          <cell r="D5">
            <v>45299</v>
          </cell>
        </row>
        <row r="6">
          <cell r="B6">
            <v>44603</v>
          </cell>
          <cell r="C6">
            <v>44968</v>
          </cell>
          <cell r="D6">
            <v>45334</v>
          </cell>
        </row>
        <row r="7">
          <cell r="B7">
            <v>44615</v>
          </cell>
          <cell r="C7">
            <v>44980</v>
          </cell>
          <cell r="D7">
            <v>45345</v>
          </cell>
        </row>
        <row r="8">
          <cell r="B8">
            <v>44641</v>
          </cell>
          <cell r="C8">
            <v>45006</v>
          </cell>
          <cell r="D8">
            <v>45371</v>
          </cell>
        </row>
        <row r="9">
          <cell r="B9">
            <v>44680</v>
          </cell>
          <cell r="C9">
            <v>45045</v>
          </cell>
          <cell r="D9">
            <v>45411</v>
          </cell>
        </row>
        <row r="10">
          <cell r="B10">
            <v>44681</v>
          </cell>
          <cell r="C10">
            <v>45046</v>
          </cell>
          <cell r="D10">
            <v>45412</v>
          </cell>
        </row>
        <row r="11">
          <cell r="B11">
            <v>44682</v>
          </cell>
          <cell r="C11">
            <v>45047</v>
          </cell>
          <cell r="D11">
            <v>45413</v>
          </cell>
        </row>
        <row r="12">
          <cell r="B12">
            <v>44683</v>
          </cell>
          <cell r="C12">
            <v>45048</v>
          </cell>
          <cell r="D12">
            <v>45414</v>
          </cell>
        </row>
        <row r="13">
          <cell r="B13">
            <v>44684</v>
          </cell>
          <cell r="C13">
            <v>45049</v>
          </cell>
          <cell r="D13">
            <v>45415</v>
          </cell>
        </row>
        <row r="14">
          <cell r="B14">
            <v>44685</v>
          </cell>
          <cell r="C14">
            <v>45050</v>
          </cell>
          <cell r="D14">
            <v>45416</v>
          </cell>
        </row>
        <row r="15">
          <cell r="B15">
            <v>44686</v>
          </cell>
          <cell r="C15">
            <v>45051</v>
          </cell>
          <cell r="D15">
            <v>45417</v>
          </cell>
        </row>
        <row r="16">
          <cell r="B16">
            <v>44760</v>
          </cell>
          <cell r="C16">
            <v>45125</v>
          </cell>
          <cell r="D16">
            <v>45418</v>
          </cell>
        </row>
        <row r="17">
          <cell r="B17">
            <v>44784</v>
          </cell>
          <cell r="C17">
            <v>45149</v>
          </cell>
          <cell r="D17">
            <v>45491</v>
          </cell>
        </row>
        <row r="18">
          <cell r="B18">
            <v>44823</v>
          </cell>
          <cell r="C18">
            <v>45187</v>
          </cell>
          <cell r="D18">
            <v>45515</v>
          </cell>
        </row>
        <row r="19">
          <cell r="B19">
            <v>44827</v>
          </cell>
          <cell r="C19">
            <v>45192</v>
          </cell>
          <cell r="D19">
            <v>45553</v>
          </cell>
        </row>
        <row r="20">
          <cell r="B20">
            <v>44844</v>
          </cell>
          <cell r="C20">
            <v>45208</v>
          </cell>
          <cell r="D20">
            <v>45558</v>
          </cell>
        </row>
        <row r="21">
          <cell r="B21">
            <v>44868</v>
          </cell>
          <cell r="C21">
            <v>45233</v>
          </cell>
          <cell r="D21">
            <v>45574</v>
          </cell>
        </row>
        <row r="22">
          <cell r="B22">
            <v>44888</v>
          </cell>
          <cell r="C22">
            <v>45253</v>
          </cell>
          <cell r="D22">
            <v>45599</v>
          </cell>
        </row>
        <row r="23">
          <cell r="B23">
            <v>44924</v>
          </cell>
          <cell r="C23">
            <v>45289</v>
          </cell>
          <cell r="D23">
            <v>45619</v>
          </cell>
        </row>
        <row r="24">
          <cell r="B24">
            <v>44925</v>
          </cell>
          <cell r="C24">
            <v>45290</v>
          </cell>
          <cell r="D24">
            <v>45655</v>
          </cell>
        </row>
        <row r="25">
          <cell r="B25">
            <v>44926</v>
          </cell>
          <cell r="C25">
            <v>45291</v>
          </cell>
          <cell r="D25">
            <v>45656</v>
          </cell>
        </row>
        <row r="26">
          <cell r="D26">
            <v>45657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simple-gantt-chart.html?utm_source=ms&amp;utm_medium=file&amp;utm_campaign=office&amp;utm_content=url" TargetMode="External"/><Relationship Id="rId2" Type="http://schemas.openxmlformats.org/officeDocument/2006/relationships/hyperlink" Target="https://www.vertex42.com/ExcelTemplates/simple-gantt-chart.html?utm_source=ms&amp;utm_medium=file&amp;utm_campaign=office&amp;utm_content=help" TargetMode="External"/><Relationship Id="rId1" Type="http://schemas.openxmlformats.org/officeDocument/2006/relationships/hyperlink" Target="https://www.vertex42.com/ExcelTemplates/excel-project-management.html?utm_source=ms&amp;utm_medium=file&amp;utm_campaign=office&amp;utm_content=text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vertex42.com/ExcelTemplates/simple-gantt-chart.html?utm_source=ms&amp;utm_medium=file&amp;utm_campaign=office&amp;utm_content=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114"/>
  <sheetViews>
    <sheetView showGridLines="0" tabSelected="1" showRuler="0" topLeftCell="B1" zoomScale="59" zoomScaleNormal="59" zoomScalePageLayoutView="70" workbookViewId="0">
      <pane xSplit="8" ySplit="6" topLeftCell="J7" activePane="bottomRight" state="frozen"/>
      <selection pane="bottomRight" activeCell="F8" sqref="F8"/>
      <selection pane="bottomLeft" activeCell="B7" sqref="B7"/>
      <selection pane="topRight" activeCell="J1" sqref="J1"/>
    </sheetView>
  </sheetViews>
  <sheetFormatPr defaultRowHeight="30" customHeight="1"/>
  <cols>
    <col min="1" max="1" width="2.5546875" style="6" customWidth="1"/>
    <col min="2" max="2" width="39.88671875" customWidth="1"/>
    <col min="3" max="3" width="8.33203125" customWidth="1"/>
    <col min="4" max="4" width="10.5546875" customWidth="1"/>
    <col min="5" max="5" width="10.21875" style="2" customWidth="1"/>
    <col min="6" max="6" width="10.21875" customWidth="1"/>
    <col min="7" max="8" width="6.21875" customWidth="1"/>
    <col min="9" max="9" width="2.88671875" customWidth="1"/>
    <col min="10" max="65" width="2.44140625" customWidth="1"/>
  </cols>
  <sheetData>
    <row r="1" spans="1:65" ht="30" customHeight="1">
      <c r="A1" s="7" t="s">
        <v>0</v>
      </c>
      <c r="B1" s="8" t="s">
        <v>1</v>
      </c>
      <c r="C1" s="12"/>
      <c r="D1" s="13"/>
      <c r="E1" s="14"/>
      <c r="F1" s="15"/>
      <c r="H1" s="13"/>
      <c r="I1" s="13"/>
      <c r="J1" s="16"/>
    </row>
    <row r="2" spans="1:65" ht="30" customHeight="1">
      <c r="A2" s="6" t="s">
        <v>2</v>
      </c>
      <c r="B2" s="63" t="s">
        <v>3</v>
      </c>
      <c r="J2" s="17"/>
    </row>
    <row r="3" spans="1:65" ht="30" customHeight="1">
      <c r="A3" s="6" t="s">
        <v>4</v>
      </c>
      <c r="B3" s="64" t="s">
        <v>5</v>
      </c>
      <c r="C3" s="75" t="s">
        <v>6</v>
      </c>
      <c r="D3" s="76"/>
      <c r="E3" s="77">
        <v>45453</v>
      </c>
      <c r="F3" s="77"/>
    </row>
    <row r="4" spans="1:65" ht="30" customHeight="1" thickBot="1">
      <c r="A4" s="7" t="s">
        <v>7</v>
      </c>
      <c r="B4" s="71" t="s">
        <v>8</v>
      </c>
      <c r="C4" s="75" t="s">
        <v>9</v>
      </c>
      <c r="D4" s="76"/>
      <c r="E4" s="3">
        <v>1</v>
      </c>
      <c r="J4" s="72">
        <f>J5</f>
        <v>45453</v>
      </c>
      <c r="K4" s="73"/>
      <c r="L4" s="73"/>
      <c r="M4" s="73"/>
      <c r="N4" s="73"/>
      <c r="O4" s="73"/>
      <c r="P4" s="74"/>
      <c r="Q4" s="72">
        <f>Q5</f>
        <v>45460</v>
      </c>
      <c r="R4" s="73"/>
      <c r="S4" s="73"/>
      <c r="T4" s="73"/>
      <c r="U4" s="73"/>
      <c r="V4" s="73"/>
      <c r="W4" s="74"/>
      <c r="X4" s="72">
        <f>X5</f>
        <v>45467</v>
      </c>
      <c r="Y4" s="73"/>
      <c r="Z4" s="73"/>
      <c r="AA4" s="73"/>
      <c r="AB4" s="73"/>
      <c r="AC4" s="73"/>
      <c r="AD4" s="74"/>
      <c r="AE4" s="72">
        <f>AE5</f>
        <v>45474</v>
      </c>
      <c r="AF4" s="73"/>
      <c r="AG4" s="73"/>
      <c r="AH4" s="73"/>
      <c r="AI4" s="73"/>
      <c r="AJ4" s="73"/>
      <c r="AK4" s="74"/>
      <c r="AL4" s="72">
        <f>AL5</f>
        <v>45481</v>
      </c>
      <c r="AM4" s="73"/>
      <c r="AN4" s="73"/>
      <c r="AO4" s="73"/>
      <c r="AP4" s="73"/>
      <c r="AQ4" s="73"/>
      <c r="AR4" s="74"/>
      <c r="AS4" s="72">
        <f>AS5</f>
        <v>45488</v>
      </c>
      <c r="AT4" s="73"/>
      <c r="AU4" s="73"/>
      <c r="AV4" s="73"/>
      <c r="AW4" s="73"/>
      <c r="AX4" s="73"/>
      <c r="AY4" s="74"/>
      <c r="AZ4" s="72">
        <f>AZ5</f>
        <v>45495</v>
      </c>
      <c r="BA4" s="73"/>
      <c r="BB4" s="73"/>
      <c r="BC4" s="73"/>
      <c r="BD4" s="73"/>
      <c r="BE4" s="73"/>
      <c r="BF4" s="74"/>
      <c r="BG4" s="72">
        <f>BG5</f>
        <v>45502</v>
      </c>
      <c r="BH4" s="73"/>
      <c r="BI4" s="73"/>
      <c r="BJ4" s="73"/>
      <c r="BK4" s="73"/>
      <c r="BL4" s="73"/>
      <c r="BM4" s="74"/>
    </row>
    <row r="5" spans="1:65" ht="15" hidden="1" customHeight="1">
      <c r="A5" s="7" t="s">
        <v>10</v>
      </c>
      <c r="B5" s="11"/>
      <c r="C5" s="11"/>
      <c r="D5" s="11"/>
      <c r="E5" s="11"/>
      <c r="F5" s="11"/>
      <c r="G5" s="11"/>
      <c r="J5" s="38">
        <f>プロジェクトの開始-WEEKDAY(プロジェクトの開始,1)+2+7*(週表示-1)</f>
        <v>45453</v>
      </c>
      <c r="K5" s="39">
        <f>J5+1</f>
        <v>45454</v>
      </c>
      <c r="L5" s="39">
        <f t="shared" ref="L5:AY5" si="0">K5+1</f>
        <v>45455</v>
      </c>
      <c r="M5" s="39">
        <f t="shared" si="0"/>
        <v>45456</v>
      </c>
      <c r="N5" s="39">
        <f t="shared" si="0"/>
        <v>45457</v>
      </c>
      <c r="O5" s="39">
        <f t="shared" si="0"/>
        <v>45458</v>
      </c>
      <c r="P5" s="40">
        <f t="shared" si="0"/>
        <v>45459</v>
      </c>
      <c r="Q5" s="38">
        <f>P5+1</f>
        <v>45460</v>
      </c>
      <c r="R5" s="39">
        <f>Q5+1</f>
        <v>45461</v>
      </c>
      <c r="S5" s="39">
        <f t="shared" si="0"/>
        <v>45462</v>
      </c>
      <c r="T5" s="39">
        <f t="shared" si="0"/>
        <v>45463</v>
      </c>
      <c r="U5" s="39">
        <f t="shared" si="0"/>
        <v>45464</v>
      </c>
      <c r="V5" s="39">
        <f t="shared" si="0"/>
        <v>45465</v>
      </c>
      <c r="W5" s="40">
        <f t="shared" si="0"/>
        <v>45466</v>
      </c>
      <c r="X5" s="38">
        <f>W5+1</f>
        <v>45467</v>
      </c>
      <c r="Y5" s="39">
        <f>X5+1</f>
        <v>45468</v>
      </c>
      <c r="Z5" s="39">
        <f t="shared" si="0"/>
        <v>45469</v>
      </c>
      <c r="AA5" s="39">
        <f t="shared" si="0"/>
        <v>45470</v>
      </c>
      <c r="AB5" s="39">
        <f t="shared" si="0"/>
        <v>45471</v>
      </c>
      <c r="AC5" s="39">
        <f t="shared" si="0"/>
        <v>45472</v>
      </c>
      <c r="AD5" s="40">
        <f t="shared" si="0"/>
        <v>45473</v>
      </c>
      <c r="AE5" s="38">
        <f>AD5+1</f>
        <v>45474</v>
      </c>
      <c r="AF5" s="39">
        <f>AE5+1</f>
        <v>45475</v>
      </c>
      <c r="AG5" s="39">
        <f t="shared" si="0"/>
        <v>45476</v>
      </c>
      <c r="AH5" s="39">
        <f t="shared" si="0"/>
        <v>45477</v>
      </c>
      <c r="AI5" s="39">
        <f t="shared" si="0"/>
        <v>45478</v>
      </c>
      <c r="AJ5" s="39">
        <f t="shared" si="0"/>
        <v>45479</v>
      </c>
      <c r="AK5" s="40">
        <f t="shared" si="0"/>
        <v>45480</v>
      </c>
      <c r="AL5" s="38">
        <f>AK5+1</f>
        <v>45481</v>
      </c>
      <c r="AM5" s="39">
        <f>AL5+1</f>
        <v>45482</v>
      </c>
      <c r="AN5" s="39">
        <f t="shared" si="0"/>
        <v>45483</v>
      </c>
      <c r="AO5" s="39">
        <f t="shared" si="0"/>
        <v>45484</v>
      </c>
      <c r="AP5" s="39">
        <f t="shared" si="0"/>
        <v>45485</v>
      </c>
      <c r="AQ5" s="39">
        <f t="shared" si="0"/>
        <v>45486</v>
      </c>
      <c r="AR5" s="40">
        <f t="shared" si="0"/>
        <v>45487</v>
      </c>
      <c r="AS5" s="38">
        <f>AR5+1</f>
        <v>45488</v>
      </c>
      <c r="AT5" s="39">
        <f>AS5+1</f>
        <v>45489</v>
      </c>
      <c r="AU5" s="39">
        <f t="shared" si="0"/>
        <v>45490</v>
      </c>
      <c r="AV5" s="39">
        <f t="shared" si="0"/>
        <v>45491</v>
      </c>
      <c r="AW5" s="39">
        <f t="shared" si="0"/>
        <v>45492</v>
      </c>
      <c r="AX5" s="39">
        <f t="shared" si="0"/>
        <v>45493</v>
      </c>
      <c r="AY5" s="40">
        <f t="shared" si="0"/>
        <v>45494</v>
      </c>
      <c r="AZ5" s="38">
        <f>AY5+1</f>
        <v>45495</v>
      </c>
      <c r="BA5" s="39">
        <f>AZ5+1</f>
        <v>45496</v>
      </c>
      <c r="BB5" s="39">
        <f t="shared" ref="BB5:BF5" si="1">BA5+1</f>
        <v>45497</v>
      </c>
      <c r="BC5" s="39">
        <f t="shared" si="1"/>
        <v>45498</v>
      </c>
      <c r="BD5" s="39">
        <f t="shared" si="1"/>
        <v>45499</v>
      </c>
      <c r="BE5" s="39">
        <f t="shared" si="1"/>
        <v>45500</v>
      </c>
      <c r="BF5" s="40">
        <f t="shared" si="1"/>
        <v>45501</v>
      </c>
      <c r="BG5" s="38">
        <f>BF5+1</f>
        <v>45502</v>
      </c>
      <c r="BH5" s="39">
        <f>BG5+1</f>
        <v>45503</v>
      </c>
      <c r="BI5" s="39">
        <f t="shared" ref="BI5:BM5" si="2">BH5+1</f>
        <v>45504</v>
      </c>
      <c r="BJ5" s="39">
        <f t="shared" si="2"/>
        <v>45505</v>
      </c>
      <c r="BK5" s="39">
        <f t="shared" si="2"/>
        <v>45506</v>
      </c>
      <c r="BL5" s="39">
        <f t="shared" si="2"/>
        <v>45507</v>
      </c>
      <c r="BM5" s="40">
        <f t="shared" si="2"/>
        <v>45508</v>
      </c>
    </row>
    <row r="6" spans="1:65" ht="30" hidden="1" customHeight="1" thickBot="1">
      <c r="A6" s="7" t="s">
        <v>11</v>
      </c>
      <c r="B6" s="18" t="s">
        <v>12</v>
      </c>
      <c r="C6" s="19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44" t="s">
        <v>19</v>
      </c>
      <c r="J6" s="20" t="str">
        <f t="shared" ref="J6:BM6" si="3">LEFT(TEXT(J5,"aaa"),1)</f>
        <v>月</v>
      </c>
      <c r="K6" s="20" t="str">
        <f t="shared" si="3"/>
        <v>火</v>
      </c>
      <c r="L6" s="20" t="str">
        <f t="shared" si="3"/>
        <v>水</v>
      </c>
      <c r="M6" s="20" t="str">
        <f t="shared" si="3"/>
        <v>木</v>
      </c>
      <c r="N6" s="20" t="str">
        <f t="shared" si="3"/>
        <v>金</v>
      </c>
      <c r="O6" s="20" t="str">
        <f t="shared" si="3"/>
        <v>土</v>
      </c>
      <c r="P6" s="20" t="str">
        <f t="shared" si="3"/>
        <v>日</v>
      </c>
      <c r="Q6" s="20" t="str">
        <f t="shared" si="3"/>
        <v>月</v>
      </c>
      <c r="R6" s="20" t="str">
        <f t="shared" si="3"/>
        <v>火</v>
      </c>
      <c r="S6" s="20" t="str">
        <f t="shared" si="3"/>
        <v>水</v>
      </c>
      <c r="T6" s="20" t="str">
        <f t="shared" si="3"/>
        <v>木</v>
      </c>
      <c r="U6" s="20" t="str">
        <f t="shared" si="3"/>
        <v>金</v>
      </c>
      <c r="V6" s="20" t="str">
        <f t="shared" si="3"/>
        <v>土</v>
      </c>
      <c r="W6" s="20" t="str">
        <f t="shared" si="3"/>
        <v>日</v>
      </c>
      <c r="X6" s="20" t="str">
        <f t="shared" si="3"/>
        <v>月</v>
      </c>
      <c r="Y6" s="20" t="str">
        <f t="shared" si="3"/>
        <v>火</v>
      </c>
      <c r="Z6" s="20" t="str">
        <f t="shared" si="3"/>
        <v>水</v>
      </c>
      <c r="AA6" s="20" t="str">
        <f t="shared" si="3"/>
        <v>木</v>
      </c>
      <c r="AB6" s="20" t="str">
        <f t="shared" si="3"/>
        <v>金</v>
      </c>
      <c r="AC6" s="20" t="str">
        <f t="shared" si="3"/>
        <v>土</v>
      </c>
      <c r="AD6" s="20" t="str">
        <f t="shared" si="3"/>
        <v>日</v>
      </c>
      <c r="AE6" s="20" t="str">
        <f t="shared" si="3"/>
        <v>月</v>
      </c>
      <c r="AF6" s="20" t="str">
        <f t="shared" si="3"/>
        <v>火</v>
      </c>
      <c r="AG6" s="20" t="str">
        <f t="shared" si="3"/>
        <v>水</v>
      </c>
      <c r="AH6" s="20" t="str">
        <f t="shared" si="3"/>
        <v>木</v>
      </c>
      <c r="AI6" s="20" t="str">
        <f t="shared" si="3"/>
        <v>金</v>
      </c>
      <c r="AJ6" s="20" t="str">
        <f t="shared" si="3"/>
        <v>土</v>
      </c>
      <c r="AK6" s="20" t="str">
        <f t="shared" si="3"/>
        <v>日</v>
      </c>
      <c r="AL6" s="20" t="str">
        <f t="shared" si="3"/>
        <v>月</v>
      </c>
      <c r="AM6" s="20" t="str">
        <f t="shared" si="3"/>
        <v>火</v>
      </c>
      <c r="AN6" s="20" t="str">
        <f t="shared" si="3"/>
        <v>水</v>
      </c>
      <c r="AO6" s="20" t="str">
        <f t="shared" si="3"/>
        <v>木</v>
      </c>
      <c r="AP6" s="20" t="str">
        <f t="shared" si="3"/>
        <v>金</v>
      </c>
      <c r="AQ6" s="20" t="str">
        <f t="shared" si="3"/>
        <v>土</v>
      </c>
      <c r="AR6" s="20" t="str">
        <f t="shared" si="3"/>
        <v>日</v>
      </c>
      <c r="AS6" s="20" t="str">
        <f t="shared" si="3"/>
        <v>月</v>
      </c>
      <c r="AT6" s="20" t="str">
        <f t="shared" si="3"/>
        <v>火</v>
      </c>
      <c r="AU6" s="20" t="str">
        <f t="shared" si="3"/>
        <v>水</v>
      </c>
      <c r="AV6" s="20" t="str">
        <f t="shared" si="3"/>
        <v>木</v>
      </c>
      <c r="AW6" s="20" t="str">
        <f t="shared" si="3"/>
        <v>金</v>
      </c>
      <c r="AX6" s="20" t="str">
        <f t="shared" si="3"/>
        <v>土</v>
      </c>
      <c r="AY6" s="20" t="str">
        <f t="shared" si="3"/>
        <v>日</v>
      </c>
      <c r="AZ6" s="20" t="str">
        <f t="shared" si="3"/>
        <v>月</v>
      </c>
      <c r="BA6" s="20" t="str">
        <f t="shared" si="3"/>
        <v>火</v>
      </c>
      <c r="BB6" s="20" t="str">
        <f t="shared" si="3"/>
        <v>水</v>
      </c>
      <c r="BC6" s="20" t="str">
        <f t="shared" si="3"/>
        <v>木</v>
      </c>
      <c r="BD6" s="20" t="str">
        <f t="shared" si="3"/>
        <v>金</v>
      </c>
      <c r="BE6" s="20" t="str">
        <f t="shared" si="3"/>
        <v>土</v>
      </c>
      <c r="BF6" s="20" t="str">
        <f t="shared" si="3"/>
        <v>日</v>
      </c>
      <c r="BG6" s="20" t="str">
        <f t="shared" si="3"/>
        <v>月</v>
      </c>
      <c r="BH6" s="20" t="str">
        <f t="shared" si="3"/>
        <v>火</v>
      </c>
      <c r="BI6" s="20" t="str">
        <f t="shared" si="3"/>
        <v>水</v>
      </c>
      <c r="BJ6" s="20" t="str">
        <f t="shared" si="3"/>
        <v>木</v>
      </c>
      <c r="BK6" s="20" t="str">
        <f t="shared" si="3"/>
        <v>金</v>
      </c>
      <c r="BL6" s="20" t="str">
        <f t="shared" si="3"/>
        <v>土</v>
      </c>
      <c r="BM6" s="20" t="str">
        <f t="shared" si="3"/>
        <v>日</v>
      </c>
    </row>
    <row r="7" spans="1:65" ht="30" customHeight="1" thickBot="1">
      <c r="A7" s="7" t="s">
        <v>20</v>
      </c>
      <c r="B7" s="21" t="s">
        <v>21</v>
      </c>
      <c r="C7" s="9"/>
      <c r="D7" s="50">
        <f>(H7 - IF(G7="", H7, G7)) / H7</f>
        <v>1</v>
      </c>
      <c r="E7" s="46">
        <v>45453</v>
      </c>
      <c r="F7" s="47">
        <v>45483</v>
      </c>
      <c r="G7" s="48">
        <f>I7</f>
        <v>0</v>
      </c>
      <c r="H7" s="48">
        <f>SUM(H8:H54)</f>
        <v>76</v>
      </c>
      <c r="I7" s="43">
        <f>SUM(I8:I54)</f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 s="1" customFormat="1" ht="30" customHeight="1" thickBot="1">
      <c r="A8" s="7" t="s">
        <v>22</v>
      </c>
      <c r="B8" s="53" t="s">
        <v>23</v>
      </c>
      <c r="C8" s="58"/>
      <c r="D8" s="59">
        <f>AVERAGE(D9:D12)</f>
        <v>1</v>
      </c>
      <c r="E8" s="60">
        <v>45454</v>
      </c>
      <c r="F8" s="60">
        <v>45457</v>
      </c>
      <c r="G8" s="48"/>
      <c r="H8" s="48"/>
      <c r="I8" s="6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 s="1" customFormat="1" ht="30" customHeight="1">
      <c r="A9" s="7" t="s">
        <v>24</v>
      </c>
      <c r="B9" s="52" t="s">
        <v>25</v>
      </c>
      <c r="C9" s="55" t="s">
        <v>26</v>
      </c>
      <c r="D9" s="23">
        <f>(H9 - IF(G9="", H9, G9)) / H9</f>
        <v>1</v>
      </c>
      <c r="E9" s="45">
        <v>45454</v>
      </c>
      <c r="F9" s="70">
        <v>45457</v>
      </c>
      <c r="G9" s="22">
        <v>0</v>
      </c>
      <c r="H9" s="22">
        <v>4</v>
      </c>
      <c r="I9" s="43">
        <f t="shared" ref="I9:I31" si="4">MIN(G9:H9)</f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5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 s="1" customFormat="1" ht="30" customHeight="1">
      <c r="A10" s="7"/>
      <c r="B10" s="52" t="s">
        <v>27</v>
      </c>
      <c r="C10" s="55" t="s">
        <v>26</v>
      </c>
      <c r="D10" s="23">
        <f t="shared" ref="D10:D44" si="5">(H10 - IF(G10="", H10, G10)) / H10</f>
        <v>1</v>
      </c>
      <c r="E10" s="45">
        <v>45454</v>
      </c>
      <c r="F10" s="70">
        <v>45457</v>
      </c>
      <c r="G10" s="22">
        <v>0</v>
      </c>
      <c r="H10" s="22">
        <v>4</v>
      </c>
      <c r="I10" s="43">
        <f t="shared" si="4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 s="1" customFormat="1" ht="30" customHeight="1">
      <c r="A11" s="7"/>
      <c r="B11" s="52" t="s">
        <v>28</v>
      </c>
      <c r="C11" s="55" t="s">
        <v>29</v>
      </c>
      <c r="D11" s="23">
        <f t="shared" si="5"/>
        <v>1</v>
      </c>
      <c r="E11" s="45">
        <v>45454</v>
      </c>
      <c r="F11" s="70">
        <v>45457</v>
      </c>
      <c r="G11" s="22">
        <v>0</v>
      </c>
      <c r="H11" s="22">
        <v>4</v>
      </c>
      <c r="I11" s="43">
        <f t="shared" si="4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 s="1" customFormat="1" ht="30" customHeight="1">
      <c r="A12" s="7"/>
      <c r="B12" s="52" t="s">
        <v>30</v>
      </c>
      <c r="C12" s="55" t="s">
        <v>29</v>
      </c>
      <c r="D12" s="23">
        <f t="shared" si="5"/>
        <v>1</v>
      </c>
      <c r="E12" s="45">
        <v>45454</v>
      </c>
      <c r="F12" s="70">
        <v>45457</v>
      </c>
      <c r="G12" s="22">
        <v>0</v>
      </c>
      <c r="H12" s="22">
        <v>4</v>
      </c>
      <c r="I12" s="43">
        <f t="shared" si="4"/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 s="1" customFormat="1" ht="30" customHeight="1">
      <c r="A13" s="7"/>
      <c r="B13" s="53" t="s">
        <v>31</v>
      </c>
      <c r="C13" s="58"/>
      <c r="D13" s="59">
        <f>AVERAGE(D14:D15)</f>
        <v>1</v>
      </c>
      <c r="E13" s="60">
        <f>MIN(E14:E15)</f>
        <v>45454</v>
      </c>
      <c r="F13" s="60">
        <f>MAX(F14:F15)</f>
        <v>45457</v>
      </c>
      <c r="G13" s="48"/>
      <c r="H13" s="48"/>
      <c r="I13" s="6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5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 s="1" customFormat="1" ht="30" customHeight="1">
      <c r="A14" s="7"/>
      <c r="B14" s="54" t="s">
        <v>32</v>
      </c>
      <c r="C14" s="55" t="s">
        <v>33</v>
      </c>
      <c r="D14" s="23">
        <f>(H14 - IF(G14="", H14, G14)) / H14</f>
        <v>1</v>
      </c>
      <c r="E14" s="45">
        <v>45454</v>
      </c>
      <c r="F14" s="70">
        <v>45457</v>
      </c>
      <c r="G14" s="22">
        <v>0</v>
      </c>
      <c r="H14" s="22">
        <v>4</v>
      </c>
      <c r="I14" s="43">
        <f t="shared" ref="I14:I15" si="6">MIN(G14:H14)</f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 s="1" customFormat="1" ht="30" customHeight="1">
      <c r="A15" s="7"/>
      <c r="B15" s="54" t="s">
        <v>34</v>
      </c>
      <c r="C15" s="55" t="s">
        <v>33</v>
      </c>
      <c r="D15" s="23">
        <f>(H15 - IF(G15="", H15, G15)) / H15</f>
        <v>1</v>
      </c>
      <c r="E15" s="45">
        <v>45454</v>
      </c>
      <c r="F15" s="70">
        <v>45457</v>
      </c>
      <c r="G15" s="22">
        <v>0</v>
      </c>
      <c r="H15" s="22">
        <v>4</v>
      </c>
      <c r="I15" s="43">
        <f t="shared" si="6"/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spans="1:65" s="1" customFormat="1" ht="30" customHeight="1">
      <c r="A16" s="7"/>
      <c r="B16" s="53" t="s">
        <v>35</v>
      </c>
      <c r="C16" s="58"/>
      <c r="D16" s="59">
        <f>AVERAGE(D17:D22)</f>
        <v>1</v>
      </c>
      <c r="E16" s="60">
        <v>45454</v>
      </c>
      <c r="F16" s="60">
        <v>45457</v>
      </c>
      <c r="G16" s="22"/>
      <c r="H16" s="22"/>
      <c r="I16" s="4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spans="1:65" s="1" customFormat="1" ht="30" customHeight="1">
      <c r="A17" s="7"/>
      <c r="B17" s="54" t="s">
        <v>36</v>
      </c>
      <c r="C17" s="55" t="s">
        <v>26</v>
      </c>
      <c r="D17" s="23">
        <f>(H17 - IF(G17="", H17, G17)) / H17</f>
        <v>1</v>
      </c>
      <c r="E17" s="45">
        <v>45453</v>
      </c>
      <c r="F17" s="70">
        <f t="shared" ref="F17:F18" si="7">WORKDAY(E17,H17-1,_祝日)</f>
        <v>45453</v>
      </c>
      <c r="G17" s="22">
        <v>0</v>
      </c>
      <c r="H17" s="22">
        <v>1</v>
      </c>
      <c r="I17" s="43">
        <f t="shared" si="4"/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5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 spans="1:65" s="1" customFormat="1" ht="30" customHeight="1">
      <c r="A18" s="7"/>
      <c r="B18" s="54" t="s">
        <v>37</v>
      </c>
      <c r="C18" s="55" t="s">
        <v>26</v>
      </c>
      <c r="D18" s="23">
        <f>(H18 - IF(G18="", H18, G18)) / H18</f>
        <v>1</v>
      </c>
      <c r="E18" s="45">
        <v>45454</v>
      </c>
      <c r="F18" s="70">
        <v>45454</v>
      </c>
      <c r="G18" s="22">
        <v>0</v>
      </c>
      <c r="H18" s="22">
        <v>2</v>
      </c>
      <c r="I18" s="43">
        <f t="shared" si="4"/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5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</row>
    <row r="19" spans="1:65" s="1" customFormat="1" ht="30" customHeight="1">
      <c r="A19" s="7"/>
      <c r="B19" s="52" t="s">
        <v>38</v>
      </c>
      <c r="C19" s="55" t="s">
        <v>39</v>
      </c>
      <c r="D19" s="23">
        <f>(H19 - IF(G19="", H19, G19)) / H19</f>
        <v>1</v>
      </c>
      <c r="E19" s="45">
        <v>45454</v>
      </c>
      <c r="F19" s="70">
        <v>45457</v>
      </c>
      <c r="G19" s="22">
        <v>0</v>
      </c>
      <c r="H19" s="22">
        <v>4</v>
      </c>
      <c r="I19" s="43">
        <f t="shared" si="4"/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</row>
    <row r="20" spans="1:65" s="1" customFormat="1" ht="30" customHeight="1">
      <c r="A20" s="7"/>
      <c r="B20" s="52" t="s">
        <v>40</v>
      </c>
      <c r="C20" s="55" t="s">
        <v>39</v>
      </c>
      <c r="D20" s="23">
        <f t="shared" si="5"/>
        <v>1</v>
      </c>
      <c r="E20" s="45">
        <v>45454</v>
      </c>
      <c r="F20" s="70">
        <v>45457</v>
      </c>
      <c r="G20" s="22">
        <v>0</v>
      </c>
      <c r="H20" s="22">
        <v>4</v>
      </c>
      <c r="I20" s="43">
        <f t="shared" si="4"/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</row>
    <row r="21" spans="1:65" s="1" customFormat="1" ht="30" customHeight="1">
      <c r="A21" s="6"/>
      <c r="B21" s="52" t="s">
        <v>41</v>
      </c>
      <c r="C21" s="55" t="s">
        <v>39</v>
      </c>
      <c r="D21" s="23">
        <f t="shared" si="5"/>
        <v>1</v>
      </c>
      <c r="E21" s="45">
        <v>45457</v>
      </c>
      <c r="F21" s="70">
        <v>45464</v>
      </c>
      <c r="G21" s="22">
        <v>0</v>
      </c>
      <c r="H21" s="22">
        <v>1</v>
      </c>
      <c r="I21" s="43">
        <f t="shared" si="4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</row>
    <row r="22" spans="1:65" s="1" customFormat="1" ht="30" customHeight="1">
      <c r="A22" s="6"/>
      <c r="B22" s="52" t="s">
        <v>42</v>
      </c>
      <c r="C22" s="55" t="s">
        <v>39</v>
      </c>
      <c r="D22" s="23">
        <f>(H22 - IF(G22="", H22, G22)) / H22</f>
        <v>1</v>
      </c>
      <c r="E22" s="45">
        <v>45457</v>
      </c>
      <c r="F22" s="70">
        <v>45464</v>
      </c>
      <c r="G22" s="22">
        <v>0</v>
      </c>
      <c r="H22" s="22">
        <v>1</v>
      </c>
      <c r="I22" s="43">
        <f t="shared" si="4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 spans="1:65" s="1" customFormat="1" ht="30" customHeight="1">
      <c r="A23" s="6"/>
      <c r="B23" s="53" t="s">
        <v>43</v>
      </c>
      <c r="C23" s="58"/>
      <c r="D23" s="59">
        <f>AVERAGE(D26:D31)</f>
        <v>1</v>
      </c>
      <c r="E23" s="60">
        <v>45454</v>
      </c>
      <c r="F23" s="60">
        <v>45457</v>
      </c>
      <c r="G23" s="22"/>
      <c r="H23" s="22"/>
      <c r="I23" s="4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</row>
    <row r="24" spans="1:65" s="1" customFormat="1" ht="30" customHeight="1">
      <c r="A24" s="6"/>
      <c r="B24" s="52" t="s">
        <v>44</v>
      </c>
      <c r="C24" s="55" t="s">
        <v>45</v>
      </c>
      <c r="D24" s="23">
        <f t="shared" ref="D24:D25" si="8">(H24 - IF(G24="", H24, G24)) / H24</f>
        <v>1</v>
      </c>
      <c r="E24" s="45">
        <v>45454</v>
      </c>
      <c r="F24" s="70">
        <v>45455</v>
      </c>
      <c r="G24" s="22">
        <v>0</v>
      </c>
      <c r="H24" s="22">
        <v>2</v>
      </c>
      <c r="I24" s="43">
        <f t="shared" ref="I24:I25" si="9">MIN(G24:H24)</f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 spans="1:65" s="1" customFormat="1" ht="30" customHeight="1">
      <c r="A25" s="6"/>
      <c r="B25" s="52" t="s">
        <v>46</v>
      </c>
      <c r="C25" s="55" t="s">
        <v>45</v>
      </c>
      <c r="D25" s="23">
        <f t="shared" si="8"/>
        <v>1</v>
      </c>
      <c r="E25" s="45">
        <v>45454</v>
      </c>
      <c r="F25" s="70">
        <v>45455</v>
      </c>
      <c r="G25" s="22">
        <v>0</v>
      </c>
      <c r="H25" s="22">
        <v>2</v>
      </c>
      <c r="I25" s="43">
        <f t="shared" si="9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 spans="1:65" s="1" customFormat="1" ht="30" customHeight="1">
      <c r="A26" s="6"/>
      <c r="B26" s="52" t="s">
        <v>47</v>
      </c>
      <c r="C26" s="55" t="s">
        <v>45</v>
      </c>
      <c r="D26" s="23">
        <f t="shared" si="5"/>
        <v>1</v>
      </c>
      <c r="E26" s="45">
        <v>45455</v>
      </c>
      <c r="F26" s="70">
        <v>45456</v>
      </c>
      <c r="G26" s="22">
        <v>0</v>
      </c>
      <c r="H26" s="22">
        <v>2</v>
      </c>
      <c r="I26" s="43">
        <f t="shared" si="4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</row>
    <row r="27" spans="1:65" s="1" customFormat="1" ht="30" customHeight="1">
      <c r="A27" s="6"/>
      <c r="B27" s="52" t="s">
        <v>48</v>
      </c>
      <c r="C27" s="55" t="s">
        <v>45</v>
      </c>
      <c r="D27" s="23">
        <f t="shared" si="5"/>
        <v>1</v>
      </c>
      <c r="E27" s="45">
        <v>45455</v>
      </c>
      <c r="F27" s="70">
        <v>45456</v>
      </c>
      <c r="G27" s="22">
        <v>0</v>
      </c>
      <c r="H27" s="22">
        <v>2</v>
      </c>
      <c r="I27" s="43">
        <f t="shared" si="4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</row>
    <row r="28" spans="1:65" s="1" customFormat="1" ht="30" customHeight="1">
      <c r="A28" s="6"/>
      <c r="B28" s="52" t="s">
        <v>49</v>
      </c>
      <c r="C28" s="55" t="s">
        <v>45</v>
      </c>
      <c r="D28" s="23">
        <f t="shared" si="5"/>
        <v>1</v>
      </c>
      <c r="E28" s="45">
        <v>45456</v>
      </c>
      <c r="F28" s="70">
        <f t="shared" ref="F28:F29" si="10">WORKDAY(E28,H28-1,_祝日)</f>
        <v>45456</v>
      </c>
      <c r="G28" s="22">
        <v>0</v>
      </c>
      <c r="H28" s="22">
        <v>1</v>
      </c>
      <c r="I28" s="43">
        <f t="shared" si="4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</row>
    <row r="29" spans="1:65" s="1" customFormat="1" ht="30" customHeight="1">
      <c r="A29" s="6"/>
      <c r="B29" s="52" t="s">
        <v>50</v>
      </c>
      <c r="C29" s="55" t="s">
        <v>45</v>
      </c>
      <c r="D29" s="23">
        <f t="shared" si="5"/>
        <v>1</v>
      </c>
      <c r="E29" s="45">
        <v>45456</v>
      </c>
      <c r="F29" s="70">
        <f t="shared" si="10"/>
        <v>45456</v>
      </c>
      <c r="G29" s="22">
        <v>0</v>
      </c>
      <c r="H29" s="22">
        <v>1</v>
      </c>
      <c r="I29" s="43">
        <f t="shared" si="4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</row>
    <row r="30" spans="1:65" s="1" customFormat="1" ht="30" customHeight="1">
      <c r="A30" s="7" t="s">
        <v>24</v>
      </c>
      <c r="B30" s="52" t="s">
        <v>51</v>
      </c>
      <c r="C30" s="55" t="s">
        <v>45</v>
      </c>
      <c r="D30" s="23">
        <f t="shared" si="5"/>
        <v>1</v>
      </c>
      <c r="E30" s="45">
        <v>45456</v>
      </c>
      <c r="F30" s="70">
        <v>45457</v>
      </c>
      <c r="G30" s="22">
        <v>0</v>
      </c>
      <c r="H30" s="22">
        <v>2</v>
      </c>
      <c r="I30" s="43">
        <f t="shared" si="4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5"/>
      <c r="W30" s="5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</row>
    <row r="31" spans="1:65" s="1" customFormat="1" ht="30" customHeight="1">
      <c r="A31" s="7"/>
      <c r="B31" s="52" t="s">
        <v>52</v>
      </c>
      <c r="C31" s="55" t="s">
        <v>45</v>
      </c>
      <c r="D31" s="23">
        <f t="shared" si="5"/>
        <v>1</v>
      </c>
      <c r="E31" s="45">
        <v>45456</v>
      </c>
      <c r="F31" s="70">
        <v>45457</v>
      </c>
      <c r="G31" s="22">
        <v>0</v>
      </c>
      <c r="H31" s="22">
        <v>2</v>
      </c>
      <c r="I31" s="43">
        <f t="shared" si="4"/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/>
      <c r="W31" s="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</row>
    <row r="32" spans="1:65" s="1" customFormat="1" ht="30" customHeight="1">
      <c r="A32" s="6"/>
      <c r="B32" s="53" t="s">
        <v>53</v>
      </c>
      <c r="C32" s="58"/>
      <c r="D32" s="59">
        <f>AVERAGE(D33:D44)</f>
        <v>1</v>
      </c>
      <c r="E32" s="60">
        <f>MIN(E33:E44)</f>
        <v>45456</v>
      </c>
      <c r="F32" s="60">
        <f>MAX(F33:F44)</f>
        <v>45468</v>
      </c>
      <c r="G32" s="22"/>
      <c r="H32" s="22"/>
      <c r="I32" s="4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</row>
    <row r="33" spans="1:65" s="1" customFormat="1" ht="30" customHeight="1">
      <c r="A33" s="6"/>
      <c r="B33" s="52" t="s">
        <v>54</v>
      </c>
      <c r="C33" s="55" t="s">
        <v>45</v>
      </c>
      <c r="D33" s="23">
        <f t="shared" si="5"/>
        <v>1</v>
      </c>
      <c r="E33" s="45">
        <v>45468</v>
      </c>
      <c r="F33" s="45">
        <v>45468</v>
      </c>
      <c r="G33" s="22">
        <v>0</v>
      </c>
      <c r="H33" s="22">
        <v>1</v>
      </c>
      <c r="I33" s="43">
        <f t="shared" ref="I33:I60" si="11">MIN(G33:H33)</f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</row>
    <row r="34" spans="1:65" s="1" customFormat="1" ht="30" customHeight="1">
      <c r="A34" s="6"/>
      <c r="B34" s="52" t="s">
        <v>55</v>
      </c>
      <c r="C34" s="55" t="s">
        <v>45</v>
      </c>
      <c r="D34" s="23">
        <f t="shared" si="5"/>
        <v>1</v>
      </c>
      <c r="E34" s="45">
        <v>45462</v>
      </c>
      <c r="F34" s="70">
        <v>45467</v>
      </c>
      <c r="G34" s="22">
        <v>0</v>
      </c>
      <c r="H34" s="22">
        <v>3</v>
      </c>
      <c r="I34" s="43">
        <f t="shared" si="11"/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</row>
    <row r="35" spans="1:65" s="1" customFormat="1" ht="30" customHeight="1">
      <c r="A35" s="6"/>
      <c r="B35" s="52" t="s">
        <v>56</v>
      </c>
      <c r="C35" s="55" t="s">
        <v>45</v>
      </c>
      <c r="D35" s="23">
        <f t="shared" si="5"/>
        <v>1</v>
      </c>
      <c r="E35" s="45">
        <v>45456</v>
      </c>
      <c r="F35" s="70">
        <v>45457</v>
      </c>
      <c r="G35" s="22">
        <v>0</v>
      </c>
      <c r="H35" s="22">
        <v>1</v>
      </c>
      <c r="I35" s="43">
        <f t="shared" si="11"/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</row>
    <row r="36" spans="1:65" s="1" customFormat="1" ht="30" customHeight="1">
      <c r="A36" s="6"/>
      <c r="B36" s="52" t="s">
        <v>57</v>
      </c>
      <c r="C36" s="55" t="s">
        <v>45</v>
      </c>
      <c r="D36" s="23">
        <f t="shared" si="5"/>
        <v>1</v>
      </c>
      <c r="E36" s="45">
        <v>45456</v>
      </c>
      <c r="F36" s="70">
        <v>45457</v>
      </c>
      <c r="G36" s="22">
        <v>0</v>
      </c>
      <c r="H36" s="22">
        <v>2</v>
      </c>
      <c r="I36" s="43">
        <f t="shared" si="11"/>
        <v>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</row>
    <row r="37" spans="1:65" s="1" customFormat="1" ht="30" customHeight="1">
      <c r="A37" s="6"/>
      <c r="B37" s="52" t="s">
        <v>58</v>
      </c>
      <c r="C37" s="55" t="s">
        <v>45</v>
      </c>
      <c r="D37" s="23">
        <f t="shared" si="5"/>
        <v>1</v>
      </c>
      <c r="E37" s="45">
        <v>45456</v>
      </c>
      <c r="F37" s="70">
        <v>45457</v>
      </c>
      <c r="G37" s="22">
        <v>0</v>
      </c>
      <c r="H37" s="22">
        <v>1</v>
      </c>
      <c r="I37" s="43">
        <f t="shared" si="11"/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</row>
    <row r="38" spans="1:65" s="1" customFormat="1" ht="30" customHeight="1">
      <c r="A38" s="7" t="s">
        <v>24</v>
      </c>
      <c r="B38" s="52" t="s">
        <v>59</v>
      </c>
      <c r="C38" s="55" t="s">
        <v>45</v>
      </c>
      <c r="D38" s="23">
        <f t="shared" si="5"/>
        <v>1</v>
      </c>
      <c r="E38" s="45">
        <v>45456</v>
      </c>
      <c r="F38" s="70">
        <v>45457</v>
      </c>
      <c r="G38" s="22">
        <v>0</v>
      </c>
      <c r="H38" s="22">
        <v>1</v>
      </c>
      <c r="I38" s="43">
        <f t="shared" si="11"/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</row>
    <row r="39" spans="1:65" s="1" customFormat="1" ht="30" customHeight="1">
      <c r="A39" s="7"/>
      <c r="B39" s="52" t="s">
        <v>60</v>
      </c>
      <c r="C39" s="55" t="s">
        <v>45</v>
      </c>
      <c r="D39" s="23">
        <f t="shared" si="5"/>
        <v>1</v>
      </c>
      <c r="E39" s="45">
        <v>45456</v>
      </c>
      <c r="F39" s="70">
        <v>45457</v>
      </c>
      <c r="G39" s="22">
        <v>0</v>
      </c>
      <c r="H39" s="22">
        <v>1</v>
      </c>
      <c r="I39" s="43">
        <f t="shared" si="11"/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</row>
    <row r="40" spans="1:65" s="1" customFormat="1" ht="30" customHeight="1">
      <c r="A40" s="7"/>
      <c r="B40" s="52" t="s">
        <v>61</v>
      </c>
      <c r="C40" s="55" t="s">
        <v>45</v>
      </c>
      <c r="D40" s="23">
        <f t="shared" si="5"/>
        <v>1</v>
      </c>
      <c r="E40" s="45">
        <v>45456</v>
      </c>
      <c r="F40" s="70">
        <v>45457</v>
      </c>
      <c r="G40" s="22">
        <v>0</v>
      </c>
      <c r="H40" s="22">
        <v>1</v>
      </c>
      <c r="I40" s="43">
        <f t="shared" si="11"/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</row>
    <row r="41" spans="1:65" s="1" customFormat="1" ht="30" customHeight="1">
      <c r="A41" s="7"/>
      <c r="B41" s="52" t="s">
        <v>62</v>
      </c>
      <c r="C41" s="55" t="s">
        <v>45</v>
      </c>
      <c r="D41" s="23">
        <v>1</v>
      </c>
      <c r="E41" s="45">
        <v>45456</v>
      </c>
      <c r="F41" s="70">
        <v>45457</v>
      </c>
      <c r="G41" s="22">
        <v>0</v>
      </c>
      <c r="H41" s="22">
        <v>2</v>
      </c>
      <c r="I41" s="43">
        <f t="shared" si="11"/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</row>
    <row r="42" spans="1:65" s="1" customFormat="1" ht="30" customHeight="1">
      <c r="A42" s="7"/>
      <c r="B42" s="52" t="s">
        <v>63</v>
      </c>
      <c r="C42" s="55" t="s">
        <v>45</v>
      </c>
      <c r="D42" s="23">
        <f t="shared" si="5"/>
        <v>1</v>
      </c>
      <c r="E42" s="45">
        <v>45456</v>
      </c>
      <c r="F42" s="70">
        <v>45457</v>
      </c>
      <c r="G42" s="22">
        <v>0</v>
      </c>
      <c r="H42" s="22">
        <v>1</v>
      </c>
      <c r="I42" s="43">
        <f t="shared" si="11"/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</row>
    <row r="43" spans="1:65" s="1" customFormat="1" ht="30" customHeight="1">
      <c r="A43" s="7"/>
      <c r="B43" s="52" t="s">
        <v>64</v>
      </c>
      <c r="C43" s="55" t="s">
        <v>45</v>
      </c>
      <c r="D43" s="23">
        <f t="shared" si="5"/>
        <v>1</v>
      </c>
      <c r="E43" s="45">
        <v>45456</v>
      </c>
      <c r="F43" s="70">
        <v>45457</v>
      </c>
      <c r="G43" s="22">
        <v>0</v>
      </c>
      <c r="H43" s="22">
        <v>1</v>
      </c>
      <c r="I43" s="43">
        <f t="shared" si="11"/>
        <v>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</row>
    <row r="44" spans="1:65" s="1" customFormat="1" ht="30" customHeight="1">
      <c r="A44" s="7"/>
      <c r="B44" s="52" t="s">
        <v>65</v>
      </c>
      <c r="C44" s="55" t="s">
        <v>45</v>
      </c>
      <c r="D44" s="23">
        <f t="shared" si="5"/>
        <v>1</v>
      </c>
      <c r="E44" s="45">
        <v>45456</v>
      </c>
      <c r="F44" s="70">
        <v>45457</v>
      </c>
      <c r="G44" s="22">
        <v>0</v>
      </c>
      <c r="H44" s="22">
        <v>1</v>
      </c>
      <c r="I44" s="43">
        <f t="shared" si="11"/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</row>
    <row r="45" spans="1:65" s="1" customFormat="1" ht="30" customHeight="1">
      <c r="A45" s="7"/>
      <c r="B45" s="53" t="s">
        <v>66</v>
      </c>
      <c r="C45" s="58"/>
      <c r="D45" s="59">
        <f>AVERAGE(D46)</f>
        <v>1</v>
      </c>
      <c r="E45" s="60">
        <f>MIN(E46)</f>
        <v>45453</v>
      </c>
      <c r="F45" s="60">
        <f>MAX(F46)</f>
        <v>45453</v>
      </c>
      <c r="G45" s="48"/>
      <c r="H45" s="48"/>
      <c r="I45" s="6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</row>
    <row r="46" spans="1:65" s="1" customFormat="1" ht="30" customHeight="1">
      <c r="A46" s="7"/>
      <c r="B46" s="52" t="s">
        <v>67</v>
      </c>
      <c r="C46" s="55" t="s">
        <v>26</v>
      </c>
      <c r="D46" s="23">
        <f t="shared" ref="D46" si="12">(H46 - IF(G46="", H46, G46)) / H46</f>
        <v>1</v>
      </c>
      <c r="E46" s="45">
        <f>プロジェクトの開始</f>
        <v>45453</v>
      </c>
      <c r="F46" s="70">
        <f>WORKDAY(E46,H46-1,_祝日)</f>
        <v>45453</v>
      </c>
      <c r="G46" s="22">
        <v>0</v>
      </c>
      <c r="H46" s="22">
        <v>1</v>
      </c>
      <c r="I46" s="43">
        <f t="shared" si="11"/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</row>
    <row r="47" spans="1:65" s="1" customFormat="1" ht="30" customHeight="1">
      <c r="A47" s="7"/>
      <c r="B47" s="53" t="s">
        <v>68</v>
      </c>
      <c r="C47" s="58"/>
      <c r="D47" s="59">
        <f>AVERAGE(D48:D49)</f>
        <v>1</v>
      </c>
      <c r="E47" s="60">
        <v>45453</v>
      </c>
      <c r="F47" s="60">
        <f>MAX(F48:F52)</f>
        <v>45463</v>
      </c>
      <c r="G47" s="48"/>
      <c r="H47" s="48"/>
      <c r="I47" s="6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</row>
    <row r="48" spans="1:65" s="1" customFormat="1" ht="30" customHeight="1">
      <c r="A48" s="7"/>
      <c r="B48" s="52" t="s">
        <v>69</v>
      </c>
      <c r="C48" s="55" t="s">
        <v>70</v>
      </c>
      <c r="D48" s="23">
        <f t="shared" ref="D48:D60" si="13">(H48 - IF(G48="", H48, G48)) / H48</f>
        <v>1</v>
      </c>
      <c r="E48" s="60">
        <v>45454</v>
      </c>
      <c r="F48" s="70">
        <f>WORKDAY(E48,H48-1,_祝日)</f>
        <v>45454</v>
      </c>
      <c r="G48" s="22">
        <v>0</v>
      </c>
      <c r="H48" s="22">
        <v>1</v>
      </c>
      <c r="I48" s="43">
        <f t="shared" si="11"/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</row>
    <row r="49" spans="1:65" s="1" customFormat="1" ht="30" customHeight="1" thickBot="1">
      <c r="A49" s="7"/>
      <c r="B49" s="52" t="s">
        <v>71</v>
      </c>
      <c r="C49" s="55" t="s">
        <v>70</v>
      </c>
      <c r="D49" s="23">
        <f t="shared" si="13"/>
        <v>1</v>
      </c>
      <c r="E49" s="60">
        <v>45455</v>
      </c>
      <c r="F49" s="70">
        <f>WORKDAY(E49,H49-1,_祝日)</f>
        <v>45455</v>
      </c>
      <c r="G49" s="22">
        <v>0</v>
      </c>
      <c r="H49" s="22">
        <v>1</v>
      </c>
      <c r="I49" s="43">
        <f t="shared" si="11"/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</row>
    <row r="50" spans="1:65" s="1" customFormat="1" ht="30" customHeight="1" thickBot="1">
      <c r="A50" s="7"/>
      <c r="B50" s="52" t="s">
        <v>72</v>
      </c>
      <c r="C50" s="55" t="s">
        <v>33</v>
      </c>
      <c r="D50" s="23">
        <f t="shared" ref="D50:D51" si="14">(H50 - IF(G50="", H50, G50)) / H50</f>
        <v>1</v>
      </c>
      <c r="E50" s="45">
        <v>45462</v>
      </c>
      <c r="F50" s="70">
        <v>45463</v>
      </c>
      <c r="G50" s="22">
        <v>0</v>
      </c>
      <c r="H50" s="22">
        <v>1</v>
      </c>
      <c r="I50" s="43">
        <f t="shared" ref="I50:I51" si="15">MIN(G50:H50)</f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</row>
    <row r="51" spans="1:65" s="1" customFormat="1" ht="30" customHeight="1" thickBot="1">
      <c r="A51" s="7"/>
      <c r="B51" s="52" t="s">
        <v>73</v>
      </c>
      <c r="C51" s="55" t="s">
        <v>74</v>
      </c>
      <c r="D51" s="23">
        <f t="shared" si="14"/>
        <v>1</v>
      </c>
      <c r="E51" s="45">
        <v>45455</v>
      </c>
      <c r="F51" s="70">
        <v>45457</v>
      </c>
      <c r="G51" s="22">
        <v>0</v>
      </c>
      <c r="H51" s="22">
        <v>3</v>
      </c>
      <c r="I51" s="43">
        <f t="shared" si="15"/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</row>
    <row r="52" spans="1:65" s="1" customFormat="1" ht="30" customHeight="1" thickBot="1">
      <c r="A52" s="7"/>
      <c r="B52" s="52" t="s">
        <v>75</v>
      </c>
      <c r="C52" s="55" t="s">
        <v>74</v>
      </c>
      <c r="D52" s="23">
        <f t="shared" si="13"/>
        <v>1</v>
      </c>
      <c r="E52" s="45">
        <v>45455</v>
      </c>
      <c r="F52" s="70">
        <v>45457</v>
      </c>
      <c r="G52" s="22">
        <v>0</v>
      </c>
      <c r="H52" s="22">
        <v>1</v>
      </c>
      <c r="I52" s="43">
        <f t="shared" si="11"/>
        <v>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</row>
    <row r="53" spans="1:65" s="1" customFormat="1" ht="30" customHeight="1" thickBot="1">
      <c r="A53" s="7"/>
      <c r="B53" s="52" t="s">
        <v>76</v>
      </c>
      <c r="C53" s="55" t="s">
        <v>74</v>
      </c>
      <c r="D53" s="23">
        <f t="shared" ref="D53" si="16">(H53 - IF(G53="", H53, G53)) / H53</f>
        <v>1</v>
      </c>
      <c r="E53" s="45">
        <v>45455</v>
      </c>
      <c r="F53" s="70">
        <v>45457</v>
      </c>
      <c r="G53" s="22">
        <v>0</v>
      </c>
      <c r="H53" s="22">
        <v>1</v>
      </c>
      <c r="I53" s="43">
        <f t="shared" ref="I53" si="17">MIN(G53:H53)</f>
        <v>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</row>
    <row r="54" spans="1:65" s="1" customFormat="1" ht="30" customHeight="1" thickBot="1">
      <c r="A54" s="62"/>
      <c r="B54" s="53" t="s">
        <v>77</v>
      </c>
      <c r="C54" s="58"/>
      <c r="D54" s="59">
        <f>AVERAGE(D55:D60)</f>
        <v>1</v>
      </c>
      <c r="E54" s="60">
        <v>45453</v>
      </c>
      <c r="F54" s="60">
        <v>45453</v>
      </c>
      <c r="G54" s="48"/>
      <c r="H54" s="48"/>
      <c r="I54" s="6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</row>
    <row r="55" spans="1:65" s="1" customFormat="1" ht="30" customHeight="1">
      <c r="A55" s="6"/>
      <c r="B55" s="52" t="s">
        <v>78</v>
      </c>
      <c r="C55" s="55" t="s">
        <v>79</v>
      </c>
      <c r="D55" s="23">
        <f t="shared" si="13"/>
        <v>1</v>
      </c>
      <c r="E55" s="45">
        <f>プロジェクトの開始</f>
        <v>45453</v>
      </c>
      <c r="F55" s="70">
        <f t="shared" ref="F55:F60" si="18">WORKDAY(E55,H55-1,_祝日)</f>
        <v>45453</v>
      </c>
      <c r="G55" s="22">
        <v>0</v>
      </c>
      <c r="H55" s="22">
        <v>1</v>
      </c>
      <c r="I55" s="43">
        <f t="shared" si="11"/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</row>
    <row r="56" spans="1:65" s="1" customFormat="1" ht="30" customHeight="1">
      <c r="A56" s="7" t="s">
        <v>24</v>
      </c>
      <c r="B56" s="52" t="s">
        <v>80</v>
      </c>
      <c r="C56" s="55" t="s">
        <v>79</v>
      </c>
      <c r="D56" s="23">
        <f t="shared" si="13"/>
        <v>1</v>
      </c>
      <c r="E56" s="45">
        <f>プロジェクトの開始</f>
        <v>45453</v>
      </c>
      <c r="F56" s="70">
        <f t="shared" si="18"/>
        <v>45453</v>
      </c>
      <c r="G56" s="22">
        <v>0</v>
      </c>
      <c r="H56" s="22">
        <v>1</v>
      </c>
      <c r="I56" s="43">
        <f t="shared" si="11"/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</row>
    <row r="57" spans="1:65" s="1" customFormat="1" ht="30" customHeight="1">
      <c r="A57" s="7"/>
      <c r="B57" s="52" t="s">
        <v>81</v>
      </c>
      <c r="C57" s="55" t="s">
        <v>79</v>
      </c>
      <c r="D57" s="23">
        <f t="shared" si="13"/>
        <v>1</v>
      </c>
      <c r="E57" s="45">
        <f>プロジェクトの開始</f>
        <v>45453</v>
      </c>
      <c r="F57" s="70">
        <f t="shared" si="18"/>
        <v>45453</v>
      </c>
      <c r="G57" s="22">
        <v>0</v>
      </c>
      <c r="H57" s="22">
        <v>1</v>
      </c>
      <c r="I57" s="43">
        <f t="shared" si="11"/>
        <v>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</row>
    <row r="58" spans="1:65" s="1" customFormat="1" ht="30" customHeight="1">
      <c r="A58" s="7"/>
      <c r="B58" s="52" t="s">
        <v>82</v>
      </c>
      <c r="C58" s="55" t="s">
        <v>79</v>
      </c>
      <c r="D58" s="23">
        <f t="shared" si="13"/>
        <v>1</v>
      </c>
      <c r="E58" s="45">
        <f>プロジェクトの開始</f>
        <v>45453</v>
      </c>
      <c r="F58" s="70">
        <f t="shared" si="18"/>
        <v>45453</v>
      </c>
      <c r="G58" s="22">
        <v>0</v>
      </c>
      <c r="H58" s="22">
        <v>1</v>
      </c>
      <c r="I58" s="43">
        <f t="shared" si="11"/>
        <v>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</row>
    <row r="59" spans="1:65" s="1" customFormat="1" ht="30" customHeight="1">
      <c r="A59" s="7"/>
      <c r="B59" s="52" t="s">
        <v>83</v>
      </c>
      <c r="C59" s="55" t="s">
        <v>79</v>
      </c>
      <c r="D59" s="23">
        <f t="shared" si="13"/>
        <v>1</v>
      </c>
      <c r="E59" s="45">
        <f>プロジェクトの開始</f>
        <v>45453</v>
      </c>
      <c r="F59" s="70">
        <f t="shared" si="18"/>
        <v>45453</v>
      </c>
      <c r="G59" s="22">
        <v>0</v>
      </c>
      <c r="H59" s="22">
        <v>1</v>
      </c>
      <c r="I59" s="43">
        <f t="shared" si="11"/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</row>
    <row r="60" spans="1:65" s="1" customFormat="1" ht="30" customHeight="1">
      <c r="A60" s="7"/>
      <c r="B60" s="52" t="s">
        <v>84</v>
      </c>
      <c r="C60" s="55" t="s">
        <v>79</v>
      </c>
      <c r="D60" s="23">
        <f t="shared" si="13"/>
        <v>1</v>
      </c>
      <c r="E60" s="45">
        <f>プロジェクトの開始</f>
        <v>45453</v>
      </c>
      <c r="F60" s="70">
        <f t="shared" si="18"/>
        <v>45453</v>
      </c>
      <c r="G60" s="22">
        <v>0</v>
      </c>
      <c r="H60" s="22">
        <v>1</v>
      </c>
      <c r="I60" s="43">
        <f t="shared" si="11"/>
        <v>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</row>
    <row r="61" spans="1:65" s="1" customFormat="1" ht="30" customHeight="1">
      <c r="A61" s="7"/>
      <c r="B61" s="53" t="s">
        <v>85</v>
      </c>
      <c r="C61" s="58"/>
      <c r="D61" s="59">
        <f>AVERAGE(D62:D69)</f>
        <v>1</v>
      </c>
      <c r="E61" s="45">
        <f>プロジェクトの開始</f>
        <v>45453</v>
      </c>
      <c r="F61" s="60">
        <f>MAX(F62:F69)</f>
        <v>45458</v>
      </c>
      <c r="G61" s="48"/>
      <c r="H61" s="48"/>
      <c r="I61" s="6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  <c r="W61" s="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</row>
    <row r="62" spans="1:65" s="1" customFormat="1" ht="30" customHeight="1">
      <c r="A62" s="7"/>
      <c r="B62" s="52" t="s">
        <v>86</v>
      </c>
      <c r="C62" s="55" t="s">
        <v>39</v>
      </c>
      <c r="D62" s="23">
        <f t="shared" ref="D62:D69" si="19">(H62 - IF(G62="", H62, G62)) / H62</f>
        <v>1</v>
      </c>
      <c r="E62" s="45">
        <f>プロジェクトの開始</f>
        <v>45453</v>
      </c>
      <c r="F62" s="70">
        <f t="shared" ref="F62:F69" si="20">WORKDAY(E62,H62-1,_祝日)</f>
        <v>45453</v>
      </c>
      <c r="G62" s="22">
        <v>0</v>
      </c>
      <c r="H62" s="22">
        <v>1</v>
      </c>
      <c r="I62" s="43">
        <f t="shared" ref="I62:I69" si="21">MIN(G62:H62)</f>
        <v>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</row>
    <row r="63" spans="1:65" s="1" customFormat="1" ht="30" customHeight="1">
      <c r="A63" s="7"/>
      <c r="B63" s="52" t="s">
        <v>87</v>
      </c>
      <c r="C63" s="55" t="s">
        <v>70</v>
      </c>
      <c r="D63" s="23">
        <f t="shared" si="19"/>
        <v>1</v>
      </c>
      <c r="E63" s="45">
        <f>プロジェクトの開始</f>
        <v>45453</v>
      </c>
      <c r="F63" s="70">
        <f t="shared" si="20"/>
        <v>45453</v>
      </c>
      <c r="G63" s="22">
        <v>0</v>
      </c>
      <c r="H63" s="22">
        <v>1</v>
      </c>
      <c r="I63" s="43">
        <f t="shared" si="21"/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</row>
    <row r="64" spans="1:65" s="1" customFormat="1" ht="30" customHeight="1" thickBot="1">
      <c r="A64" s="7"/>
      <c r="B64" s="52" t="s">
        <v>88</v>
      </c>
      <c r="C64" s="55" t="s">
        <v>39</v>
      </c>
      <c r="D64" s="23">
        <f t="shared" si="19"/>
        <v>1</v>
      </c>
      <c r="E64" s="45">
        <f>プロジェクトの開始</f>
        <v>45453</v>
      </c>
      <c r="F64" s="45">
        <f t="shared" si="20"/>
        <v>45453</v>
      </c>
      <c r="G64" s="22">
        <v>0</v>
      </c>
      <c r="H64" s="22">
        <v>1</v>
      </c>
      <c r="I64" s="43">
        <f t="shared" si="21"/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</row>
    <row r="65" spans="1:65" s="1" customFormat="1" ht="30" customHeight="1" thickBot="1">
      <c r="A65" s="7"/>
      <c r="B65" s="52" t="s">
        <v>89</v>
      </c>
      <c r="C65" s="55" t="s">
        <v>74</v>
      </c>
      <c r="D65" s="23">
        <f t="shared" si="19"/>
        <v>1</v>
      </c>
      <c r="E65" s="45">
        <v>45454</v>
      </c>
      <c r="F65" s="45">
        <v>45455</v>
      </c>
      <c r="G65" s="22">
        <v>0</v>
      </c>
      <c r="H65" s="22">
        <v>2</v>
      </c>
      <c r="I65" s="43">
        <f t="shared" si="21"/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</row>
    <row r="66" spans="1:65" s="1" customFormat="1" ht="30" customHeight="1" thickBot="1">
      <c r="A66" s="7"/>
      <c r="B66" s="52" t="s">
        <v>90</v>
      </c>
      <c r="C66" s="55" t="s">
        <v>74</v>
      </c>
      <c r="D66" s="23">
        <f t="shared" si="19"/>
        <v>1</v>
      </c>
      <c r="E66" s="45">
        <v>45455</v>
      </c>
      <c r="F66" s="45">
        <f t="shared" si="20"/>
        <v>45455</v>
      </c>
      <c r="G66" s="22">
        <v>0</v>
      </c>
      <c r="H66" s="22">
        <v>1</v>
      </c>
      <c r="I66" s="43">
        <f t="shared" si="21"/>
        <v>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</row>
    <row r="67" spans="1:65" s="1" customFormat="1" ht="30" customHeight="1" thickBot="1">
      <c r="A67" s="7"/>
      <c r="B67" s="52" t="s">
        <v>91</v>
      </c>
      <c r="C67" s="55" t="s">
        <v>74</v>
      </c>
      <c r="D67" s="23">
        <f t="shared" si="19"/>
        <v>1</v>
      </c>
      <c r="E67" s="45">
        <v>45456</v>
      </c>
      <c r="F67" s="45">
        <f t="shared" si="20"/>
        <v>45456</v>
      </c>
      <c r="G67" s="22">
        <v>0</v>
      </c>
      <c r="H67" s="22">
        <v>1</v>
      </c>
      <c r="I67" s="43">
        <f t="shared" si="21"/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</row>
    <row r="68" spans="1:65" s="1" customFormat="1" ht="30" customHeight="1" thickBot="1">
      <c r="A68" s="7"/>
      <c r="B68" s="52" t="s">
        <v>92</v>
      </c>
      <c r="C68" s="55" t="s">
        <v>74</v>
      </c>
      <c r="D68" s="23">
        <f t="shared" si="19"/>
        <v>1</v>
      </c>
      <c r="E68" s="45">
        <v>45457</v>
      </c>
      <c r="F68" s="45">
        <f t="shared" si="20"/>
        <v>45457</v>
      </c>
      <c r="G68" s="22">
        <v>0</v>
      </c>
      <c r="H68" s="22">
        <v>1</v>
      </c>
      <c r="I68" s="43">
        <f t="shared" si="21"/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</row>
    <row r="69" spans="1:65" s="1" customFormat="1" ht="30" customHeight="1" thickBot="1">
      <c r="A69" s="7"/>
      <c r="B69" s="52" t="s">
        <v>93</v>
      </c>
      <c r="C69" s="55" t="s">
        <v>74</v>
      </c>
      <c r="D69" s="23">
        <f t="shared" si="19"/>
        <v>1</v>
      </c>
      <c r="E69" s="45">
        <v>45458</v>
      </c>
      <c r="F69" s="45">
        <f t="shared" si="20"/>
        <v>45458</v>
      </c>
      <c r="G69" s="22">
        <v>0</v>
      </c>
      <c r="H69" s="22">
        <v>1</v>
      </c>
      <c r="I69" s="43">
        <f t="shared" si="21"/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</row>
    <row r="70" spans="1:65" s="1" customFormat="1" ht="30" customHeight="1" thickBot="1">
      <c r="A70" s="7"/>
      <c r="B70" s="53" t="s">
        <v>94</v>
      </c>
      <c r="C70" s="58"/>
      <c r="D70" s="59">
        <f>AVERAGE(D71:D79)</f>
        <v>1</v>
      </c>
      <c r="E70" s="60">
        <f>MIN(E71:E79)</f>
        <v>45453</v>
      </c>
      <c r="F70" s="60">
        <f>MAX(F71:F79)</f>
        <v>45461</v>
      </c>
      <c r="G70" s="48"/>
      <c r="H70" s="48"/>
      <c r="I70" s="6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</row>
    <row r="71" spans="1:65" s="1" customFormat="1" ht="30" customHeight="1" thickBot="1">
      <c r="A71" s="7"/>
      <c r="B71" s="52" t="s">
        <v>95</v>
      </c>
      <c r="C71" s="55" t="s">
        <v>45</v>
      </c>
      <c r="D71" s="23">
        <f t="shared" ref="D71:D79" si="22">(H71 - IF(G71="", H71, G71)) / H71</f>
        <v>1</v>
      </c>
      <c r="E71" s="45">
        <v>45453</v>
      </c>
      <c r="F71" s="45">
        <f t="shared" ref="F71:F79" si="23">WORKDAY(E71,H71-1,_祝日)</f>
        <v>45453</v>
      </c>
      <c r="G71" s="22">
        <v>0</v>
      </c>
      <c r="H71" s="22">
        <v>1</v>
      </c>
      <c r="I71" s="43">
        <f t="shared" ref="I71:I79" si="24">MIN(G71:H71)</f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</row>
    <row r="72" spans="1:65" s="1" customFormat="1" ht="30" customHeight="1" thickBot="1">
      <c r="A72" s="7"/>
      <c r="B72" s="52" t="s">
        <v>96</v>
      </c>
      <c r="C72" s="55" t="s">
        <v>70</v>
      </c>
      <c r="D72" s="23">
        <f t="shared" si="22"/>
        <v>1</v>
      </c>
      <c r="E72" s="45">
        <v>45454</v>
      </c>
      <c r="F72" s="45">
        <f t="shared" si="23"/>
        <v>45454</v>
      </c>
      <c r="G72" s="22">
        <v>0</v>
      </c>
      <c r="H72" s="22">
        <v>1</v>
      </c>
      <c r="I72" s="43">
        <f t="shared" si="24"/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</row>
    <row r="73" spans="1:65" s="1" customFormat="1" ht="30" customHeight="1" thickBot="1">
      <c r="A73" s="7"/>
      <c r="B73" s="52" t="s">
        <v>97</v>
      </c>
      <c r="C73" s="55" t="s">
        <v>70</v>
      </c>
      <c r="D73" s="23">
        <f t="shared" si="22"/>
        <v>1</v>
      </c>
      <c r="E73" s="45">
        <v>45455</v>
      </c>
      <c r="F73" s="45">
        <f t="shared" si="23"/>
        <v>45455</v>
      </c>
      <c r="G73" s="22">
        <v>0</v>
      </c>
      <c r="H73" s="22">
        <v>1</v>
      </c>
      <c r="I73" s="43">
        <f t="shared" si="24"/>
        <v>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</row>
    <row r="74" spans="1:65" s="1" customFormat="1" ht="30" customHeight="1" thickBot="1">
      <c r="A74" s="7"/>
      <c r="B74" s="52" t="s">
        <v>98</v>
      </c>
      <c r="C74" s="55" t="s">
        <v>74</v>
      </c>
      <c r="D74" s="23">
        <f t="shared" si="22"/>
        <v>1</v>
      </c>
      <c r="E74" s="45">
        <v>45456</v>
      </c>
      <c r="F74" s="45">
        <v>45455</v>
      </c>
      <c r="G74" s="22">
        <v>0</v>
      </c>
      <c r="H74" s="22">
        <v>2</v>
      </c>
      <c r="I74" s="43">
        <f t="shared" si="24"/>
        <v>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</row>
    <row r="75" spans="1:65" s="1" customFormat="1" ht="30" customHeight="1" thickBot="1">
      <c r="A75" s="7"/>
      <c r="B75" s="52" t="s">
        <v>99</v>
      </c>
      <c r="C75" s="55" t="s">
        <v>70</v>
      </c>
      <c r="D75" s="23">
        <f t="shared" si="22"/>
        <v>1</v>
      </c>
      <c r="E75" s="45">
        <v>45457</v>
      </c>
      <c r="F75" s="45">
        <f t="shared" si="23"/>
        <v>45457</v>
      </c>
      <c r="G75" s="22">
        <v>0</v>
      </c>
      <c r="H75" s="22">
        <v>1</v>
      </c>
      <c r="I75" s="43">
        <f t="shared" si="24"/>
        <v>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</row>
    <row r="76" spans="1:65" s="1" customFormat="1" ht="30" customHeight="1" thickBot="1">
      <c r="A76" s="7"/>
      <c r="B76" s="52" t="s">
        <v>100</v>
      </c>
      <c r="C76" s="55" t="s">
        <v>45</v>
      </c>
      <c r="D76" s="23">
        <f t="shared" si="22"/>
        <v>1</v>
      </c>
      <c r="E76" s="45">
        <v>45458</v>
      </c>
      <c r="F76" s="45">
        <f t="shared" si="23"/>
        <v>45458</v>
      </c>
      <c r="G76" s="22">
        <v>0</v>
      </c>
      <c r="H76" s="22">
        <v>1</v>
      </c>
      <c r="I76" s="43">
        <f t="shared" si="24"/>
        <v>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</row>
    <row r="77" spans="1:65" s="1" customFormat="1" ht="30" customHeight="1" thickBot="1">
      <c r="A77" s="7"/>
      <c r="B77" s="52" t="s">
        <v>101</v>
      </c>
      <c r="C77" s="55" t="s">
        <v>45</v>
      </c>
      <c r="D77" s="23">
        <f t="shared" si="22"/>
        <v>1</v>
      </c>
      <c r="E77" s="45">
        <v>45459</v>
      </c>
      <c r="F77" s="45">
        <f t="shared" si="23"/>
        <v>45459</v>
      </c>
      <c r="G77" s="22">
        <v>0</v>
      </c>
      <c r="H77" s="22">
        <v>1</v>
      </c>
      <c r="I77" s="43">
        <f t="shared" si="24"/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</row>
    <row r="78" spans="1:65" s="1" customFormat="1" ht="30" customHeight="1" thickBot="1">
      <c r="A78" s="7"/>
      <c r="B78" s="52" t="s">
        <v>102</v>
      </c>
      <c r="C78" s="55" t="s">
        <v>45</v>
      </c>
      <c r="D78" s="23">
        <f t="shared" si="22"/>
        <v>1</v>
      </c>
      <c r="E78" s="45">
        <v>45460</v>
      </c>
      <c r="F78" s="45">
        <f t="shared" si="23"/>
        <v>45460</v>
      </c>
      <c r="G78" s="22">
        <v>0</v>
      </c>
      <c r="H78" s="22">
        <v>1</v>
      </c>
      <c r="I78" s="43">
        <f t="shared" si="24"/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</row>
    <row r="79" spans="1:65" s="1" customFormat="1" ht="30" customHeight="1" thickBot="1">
      <c r="A79" s="7"/>
      <c r="B79" s="52" t="s">
        <v>103</v>
      </c>
      <c r="C79" s="55" t="s">
        <v>104</v>
      </c>
      <c r="D79" s="23">
        <f t="shared" si="22"/>
        <v>1</v>
      </c>
      <c r="E79" s="45">
        <v>45461</v>
      </c>
      <c r="F79" s="45">
        <f t="shared" si="23"/>
        <v>45461</v>
      </c>
      <c r="G79" s="22">
        <v>0</v>
      </c>
      <c r="H79" s="22">
        <v>1</v>
      </c>
      <c r="I79" s="43">
        <f t="shared" si="24"/>
        <v>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</row>
    <row r="80" spans="1:65" s="1" customFormat="1" ht="30" customHeight="1" thickBot="1">
      <c r="A80" s="7" t="s">
        <v>105</v>
      </c>
      <c r="B80" s="24" t="s">
        <v>106</v>
      </c>
      <c r="C80" s="10"/>
      <c r="D80" s="51">
        <f>(H80 - IF(G80="", H80, G80)) / H80</f>
        <v>1</v>
      </c>
      <c r="E80" s="49">
        <v>45475</v>
      </c>
      <c r="F80" s="49">
        <v>45503</v>
      </c>
      <c r="G80" s="48">
        <f>I80</f>
        <v>0</v>
      </c>
      <c r="H80" s="48">
        <f>SUM(H81:H103)</f>
        <v>22</v>
      </c>
      <c r="I80" s="43">
        <f>SUM(I81:I114)</f>
        <v>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</row>
    <row r="81" spans="1:65" s="1" customFormat="1" ht="30" customHeight="1" thickBot="1">
      <c r="A81" s="7"/>
      <c r="B81" s="57" t="s">
        <v>107</v>
      </c>
      <c r="C81" s="65"/>
      <c r="D81" s="66">
        <f>AVERAGE(D82:D102)</f>
        <v>1</v>
      </c>
      <c r="E81" s="49">
        <v>45475</v>
      </c>
      <c r="F81" s="67">
        <v>45482</v>
      </c>
      <c r="G81" s="48"/>
      <c r="H81" s="48"/>
      <c r="I81" s="61">
        <f t="shared" ref="I81:I114" si="25">MIN(G81:H81)</f>
        <v>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</row>
    <row r="82" spans="1:65" s="1" customFormat="1" ht="30" customHeight="1" thickBot="1">
      <c r="A82" s="7"/>
      <c r="B82" s="68" t="s">
        <v>108</v>
      </c>
      <c r="C82" s="69" t="s">
        <v>109</v>
      </c>
      <c r="D82" s="25">
        <f t="shared" ref="D82:D102" si="26">(H82 - IF(G82="", H82, G82)) / H82</f>
        <v>1</v>
      </c>
      <c r="E82" s="49">
        <v>45475</v>
      </c>
      <c r="F82" s="49">
        <v>45482</v>
      </c>
      <c r="G82" s="22">
        <v>0</v>
      </c>
      <c r="H82" s="22">
        <v>2</v>
      </c>
      <c r="I82" s="43">
        <f t="shared" si="25"/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</row>
    <row r="83" spans="1:65" s="1" customFormat="1" ht="30" customHeight="1" thickBot="1">
      <c r="A83" s="7"/>
      <c r="B83" s="68" t="s">
        <v>110</v>
      </c>
      <c r="C83" s="69" t="s">
        <v>109</v>
      </c>
      <c r="D83" s="25">
        <f t="shared" si="26"/>
        <v>1</v>
      </c>
      <c r="E83" s="49">
        <v>45475</v>
      </c>
      <c r="F83" s="67">
        <v>45482</v>
      </c>
      <c r="G83" s="22">
        <v>0</v>
      </c>
      <c r="H83" s="22">
        <v>1</v>
      </c>
      <c r="I83" s="43">
        <f t="shared" si="25"/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</row>
    <row r="84" spans="1:65" s="1" customFormat="1" ht="30" customHeight="1" thickBot="1">
      <c r="A84" s="7"/>
      <c r="B84" s="68" t="s">
        <v>111</v>
      </c>
      <c r="C84" s="69" t="s">
        <v>109</v>
      </c>
      <c r="D84" s="25">
        <f t="shared" si="26"/>
        <v>1</v>
      </c>
      <c r="E84" s="49">
        <v>45475</v>
      </c>
      <c r="F84" s="49">
        <v>45482</v>
      </c>
      <c r="G84" s="22">
        <v>0</v>
      </c>
      <c r="H84" s="22">
        <v>1</v>
      </c>
      <c r="I84" s="43">
        <f t="shared" si="25"/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</row>
    <row r="85" spans="1:65" s="1" customFormat="1" ht="30" customHeight="1" thickBot="1">
      <c r="A85" s="7"/>
      <c r="B85" s="68" t="s">
        <v>112</v>
      </c>
      <c r="C85" s="69" t="s">
        <v>109</v>
      </c>
      <c r="D85" s="25">
        <f t="shared" si="26"/>
        <v>1</v>
      </c>
      <c r="E85" s="49">
        <v>45475</v>
      </c>
      <c r="F85" s="67">
        <v>45482</v>
      </c>
      <c r="G85" s="22">
        <v>0</v>
      </c>
      <c r="H85" s="22">
        <v>1</v>
      </c>
      <c r="I85" s="43">
        <f t="shared" si="25"/>
        <v>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</row>
    <row r="86" spans="1:65" s="1" customFormat="1" ht="30" customHeight="1" thickBot="1">
      <c r="A86" s="7"/>
      <c r="B86" s="68" t="s">
        <v>113</v>
      </c>
      <c r="C86" s="69" t="s">
        <v>109</v>
      </c>
      <c r="D86" s="25">
        <f t="shared" si="26"/>
        <v>1</v>
      </c>
      <c r="E86" s="49">
        <v>45475</v>
      </c>
      <c r="F86" s="49">
        <v>45482</v>
      </c>
      <c r="G86" s="22">
        <v>0</v>
      </c>
      <c r="H86" s="22">
        <v>1</v>
      </c>
      <c r="I86" s="43">
        <f>MIN(G86:H86)</f>
        <v>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</row>
    <row r="87" spans="1:65" s="1" customFormat="1" ht="30" customHeight="1" thickBot="1">
      <c r="A87" s="7"/>
      <c r="B87" s="68" t="s">
        <v>114</v>
      </c>
      <c r="C87" s="69" t="s">
        <v>109</v>
      </c>
      <c r="D87" s="25">
        <f t="shared" si="26"/>
        <v>1</v>
      </c>
      <c r="E87" s="49">
        <v>45475</v>
      </c>
      <c r="F87" s="67">
        <v>45482</v>
      </c>
      <c r="G87" s="22">
        <v>0</v>
      </c>
      <c r="H87" s="22">
        <v>1</v>
      </c>
      <c r="I87" s="43">
        <f t="shared" si="25"/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</row>
    <row r="88" spans="1:65" s="1" customFormat="1" ht="30" customHeight="1" thickBot="1">
      <c r="A88" s="7"/>
      <c r="B88" s="68" t="s">
        <v>115</v>
      </c>
      <c r="C88" s="69" t="s">
        <v>109</v>
      </c>
      <c r="D88" s="25">
        <f t="shared" si="26"/>
        <v>1</v>
      </c>
      <c r="E88" s="49">
        <v>45475</v>
      </c>
      <c r="F88" s="49">
        <v>45482</v>
      </c>
      <c r="G88" s="22">
        <v>0</v>
      </c>
      <c r="H88" s="22">
        <v>1</v>
      </c>
      <c r="I88" s="43">
        <f t="shared" si="25"/>
        <v>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</row>
    <row r="89" spans="1:65" s="1" customFormat="1" ht="30" customHeight="1" thickBot="1">
      <c r="A89" s="7"/>
      <c r="B89" s="68" t="s">
        <v>116</v>
      </c>
      <c r="C89" s="69" t="s">
        <v>109</v>
      </c>
      <c r="D89" s="25">
        <f t="shared" si="26"/>
        <v>1</v>
      </c>
      <c r="E89" s="49">
        <v>45475</v>
      </c>
      <c r="F89" s="67">
        <v>45482</v>
      </c>
      <c r="G89" s="22">
        <v>0</v>
      </c>
      <c r="H89" s="22">
        <v>1</v>
      </c>
      <c r="I89" s="43">
        <f t="shared" si="25"/>
        <v>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</row>
    <row r="90" spans="1:65" s="1" customFormat="1" ht="30" customHeight="1" thickBot="1">
      <c r="A90" s="7"/>
      <c r="B90" s="68" t="s">
        <v>117</v>
      </c>
      <c r="C90" s="69" t="s">
        <v>109</v>
      </c>
      <c r="D90" s="25">
        <f t="shared" si="26"/>
        <v>1</v>
      </c>
      <c r="E90" s="49">
        <v>45475</v>
      </c>
      <c r="F90" s="49">
        <v>45482</v>
      </c>
      <c r="G90" s="22">
        <v>0</v>
      </c>
      <c r="H90" s="22">
        <v>1</v>
      </c>
      <c r="I90" s="43">
        <f t="shared" si="25"/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</row>
    <row r="91" spans="1:65" s="1" customFormat="1" ht="30" customHeight="1" thickBot="1">
      <c r="A91" s="7"/>
      <c r="B91" s="68" t="s">
        <v>118</v>
      </c>
      <c r="C91" s="69" t="s">
        <v>109</v>
      </c>
      <c r="D91" s="25">
        <f t="shared" si="26"/>
        <v>1</v>
      </c>
      <c r="E91" s="49">
        <v>45475</v>
      </c>
      <c r="F91" s="67">
        <v>45482</v>
      </c>
      <c r="G91" s="22">
        <v>0</v>
      </c>
      <c r="H91" s="22">
        <v>1</v>
      </c>
      <c r="I91" s="43">
        <f t="shared" si="25"/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</row>
    <row r="92" spans="1:65" s="1" customFormat="1" ht="30" customHeight="1" thickBot="1">
      <c r="A92" s="7"/>
      <c r="B92" s="68" t="s">
        <v>119</v>
      </c>
      <c r="C92" s="69" t="s">
        <v>109</v>
      </c>
      <c r="D92" s="25">
        <f t="shared" si="26"/>
        <v>1</v>
      </c>
      <c r="E92" s="49">
        <v>45475</v>
      </c>
      <c r="F92" s="49">
        <v>45482</v>
      </c>
      <c r="G92" s="22">
        <v>0</v>
      </c>
      <c r="H92" s="22">
        <v>1</v>
      </c>
      <c r="I92" s="43">
        <f t="shared" si="25"/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</row>
    <row r="93" spans="1:65" s="1" customFormat="1" ht="30" customHeight="1" thickBot="1">
      <c r="A93" s="7"/>
      <c r="B93" s="68" t="s">
        <v>120</v>
      </c>
      <c r="C93" s="69" t="s">
        <v>109</v>
      </c>
      <c r="D93" s="25">
        <f t="shared" si="26"/>
        <v>1</v>
      </c>
      <c r="E93" s="49">
        <v>45475</v>
      </c>
      <c r="F93" s="67">
        <v>45482</v>
      </c>
      <c r="G93" s="22">
        <v>0</v>
      </c>
      <c r="H93" s="22">
        <v>1</v>
      </c>
      <c r="I93" s="43">
        <f t="shared" si="25"/>
        <v>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</row>
    <row r="94" spans="1:65" s="1" customFormat="1" ht="30" customHeight="1" thickBot="1">
      <c r="A94" s="7"/>
      <c r="B94" s="68" t="s">
        <v>121</v>
      </c>
      <c r="C94" s="69" t="s">
        <v>109</v>
      </c>
      <c r="D94" s="25">
        <f t="shared" si="26"/>
        <v>1</v>
      </c>
      <c r="E94" s="49">
        <v>45475</v>
      </c>
      <c r="F94" s="49">
        <v>45482</v>
      </c>
      <c r="G94" s="22">
        <v>0</v>
      </c>
      <c r="H94" s="22">
        <v>1</v>
      </c>
      <c r="I94" s="43">
        <f t="shared" si="25"/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</row>
    <row r="95" spans="1:65" s="1" customFormat="1" ht="30" customHeight="1" thickBot="1">
      <c r="A95" s="7"/>
      <c r="B95" s="68" t="s">
        <v>122</v>
      </c>
      <c r="C95" s="69" t="s">
        <v>109</v>
      </c>
      <c r="D95" s="25">
        <f t="shared" si="26"/>
        <v>1</v>
      </c>
      <c r="E95" s="49">
        <v>45475</v>
      </c>
      <c r="F95" s="67">
        <v>45482</v>
      </c>
      <c r="G95" s="22">
        <v>0</v>
      </c>
      <c r="H95" s="22">
        <v>1</v>
      </c>
      <c r="I95" s="43">
        <f t="shared" si="25"/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</row>
    <row r="96" spans="1:65" s="1" customFormat="1" ht="30" customHeight="1" thickBot="1">
      <c r="A96" s="7"/>
      <c r="B96" s="68" t="s">
        <v>123</v>
      </c>
      <c r="C96" s="69" t="s">
        <v>109</v>
      </c>
      <c r="D96" s="25">
        <f t="shared" si="26"/>
        <v>1</v>
      </c>
      <c r="E96" s="49">
        <v>45475</v>
      </c>
      <c r="F96" s="49">
        <v>45482</v>
      </c>
      <c r="G96" s="22">
        <v>0</v>
      </c>
      <c r="H96" s="22">
        <v>1</v>
      </c>
      <c r="I96" s="43">
        <f t="shared" si="25"/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</row>
    <row r="97" spans="1:65" s="1" customFormat="1" ht="30" customHeight="1" thickBot="1">
      <c r="A97" s="7"/>
      <c r="B97" s="68" t="s">
        <v>124</v>
      </c>
      <c r="C97" s="69" t="s">
        <v>109</v>
      </c>
      <c r="D97" s="25">
        <f t="shared" si="26"/>
        <v>1</v>
      </c>
      <c r="E97" s="49">
        <v>45475</v>
      </c>
      <c r="F97" s="67">
        <v>45482</v>
      </c>
      <c r="G97" s="22">
        <v>0</v>
      </c>
      <c r="H97" s="22">
        <v>1</v>
      </c>
      <c r="I97" s="43">
        <f t="shared" si="25"/>
        <v>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</row>
    <row r="98" spans="1:65" s="1" customFormat="1" ht="30" customHeight="1" thickBot="1">
      <c r="A98" s="7"/>
      <c r="B98" s="68" t="s">
        <v>125</v>
      </c>
      <c r="C98" s="69" t="s">
        <v>109</v>
      </c>
      <c r="D98" s="25">
        <f t="shared" si="26"/>
        <v>1</v>
      </c>
      <c r="E98" s="49">
        <v>45475</v>
      </c>
      <c r="F98" s="49">
        <v>45482</v>
      </c>
      <c r="G98" s="22">
        <v>0</v>
      </c>
      <c r="H98" s="22">
        <v>1</v>
      </c>
      <c r="I98" s="43">
        <f t="shared" si="25"/>
        <v>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</row>
    <row r="99" spans="1:65" s="1" customFormat="1" ht="30" customHeight="1" thickBot="1">
      <c r="A99" s="7"/>
      <c r="B99" s="68" t="s">
        <v>126</v>
      </c>
      <c r="C99" s="69" t="s">
        <v>109</v>
      </c>
      <c r="D99" s="25">
        <f t="shared" si="26"/>
        <v>1</v>
      </c>
      <c r="E99" s="49">
        <v>45475</v>
      </c>
      <c r="F99" s="67">
        <v>45482</v>
      </c>
      <c r="G99" s="22">
        <v>0</v>
      </c>
      <c r="H99" s="22">
        <v>1</v>
      </c>
      <c r="I99" s="43">
        <f t="shared" si="25"/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</row>
    <row r="100" spans="1:65" s="1" customFormat="1" ht="30" customHeight="1" thickBot="1">
      <c r="A100" s="7"/>
      <c r="B100" s="68" t="s">
        <v>127</v>
      </c>
      <c r="C100" s="69" t="s">
        <v>109</v>
      </c>
      <c r="D100" s="25">
        <f t="shared" si="26"/>
        <v>1</v>
      </c>
      <c r="E100" s="49">
        <v>45475</v>
      </c>
      <c r="F100" s="49">
        <v>45482</v>
      </c>
      <c r="G100" s="22">
        <v>0</v>
      </c>
      <c r="H100" s="22">
        <v>1</v>
      </c>
      <c r="I100" s="43">
        <f t="shared" si="25"/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</row>
    <row r="101" spans="1:65" s="1" customFormat="1" ht="30" customHeight="1" thickBot="1">
      <c r="A101" s="7"/>
      <c r="B101" s="68" t="s">
        <v>128</v>
      </c>
      <c r="C101" s="69" t="s">
        <v>109</v>
      </c>
      <c r="D101" s="25">
        <f t="shared" si="26"/>
        <v>1</v>
      </c>
      <c r="E101" s="49">
        <v>45475</v>
      </c>
      <c r="F101" s="67">
        <v>45482</v>
      </c>
      <c r="G101" s="22">
        <v>0</v>
      </c>
      <c r="H101" s="22">
        <v>1</v>
      </c>
      <c r="I101" s="43">
        <f t="shared" si="25"/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</row>
    <row r="102" spans="1:65" s="1" customFormat="1" ht="30" customHeight="1" thickBot="1">
      <c r="A102" s="7"/>
      <c r="B102" s="68" t="s">
        <v>129</v>
      </c>
      <c r="C102" s="69" t="s">
        <v>109</v>
      </c>
      <c r="D102" s="25">
        <f t="shared" si="26"/>
        <v>1</v>
      </c>
      <c r="E102" s="49">
        <v>45475</v>
      </c>
      <c r="F102" s="49">
        <v>45482</v>
      </c>
      <c r="G102" s="22">
        <v>0</v>
      </c>
      <c r="H102" s="22">
        <v>1</v>
      </c>
      <c r="I102" s="43">
        <f t="shared" si="25"/>
        <v>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</row>
    <row r="103" spans="1:65" s="1" customFormat="1" ht="30" customHeight="1" thickBot="1">
      <c r="A103" s="6"/>
      <c r="B103" s="57" t="s">
        <v>130</v>
      </c>
      <c r="C103" s="65"/>
      <c r="D103" s="66">
        <f>AVERAGE(D104:D114)</f>
        <v>1</v>
      </c>
      <c r="E103" s="49">
        <v>45482</v>
      </c>
      <c r="F103" s="67">
        <v>45503</v>
      </c>
      <c r="G103" s="48"/>
      <c r="H103" s="48"/>
      <c r="I103" s="61">
        <f t="shared" si="25"/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</row>
    <row r="104" spans="1:65" s="1" customFormat="1" ht="30" customHeight="1" thickBot="1">
      <c r="A104" s="7"/>
      <c r="B104" s="56" t="s">
        <v>108</v>
      </c>
      <c r="C104" s="69" t="s">
        <v>39</v>
      </c>
      <c r="D104" s="25">
        <f>(H104 - IF(G104="", H104, G104)) / H104</f>
        <v>1</v>
      </c>
      <c r="E104" s="49">
        <v>45482</v>
      </c>
      <c r="F104" s="49">
        <v>45503</v>
      </c>
      <c r="G104" s="22">
        <v>0</v>
      </c>
      <c r="H104" s="22">
        <v>1</v>
      </c>
      <c r="I104" s="43">
        <f t="shared" si="25"/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</row>
    <row r="105" spans="1:65" s="1" customFormat="1" ht="30" customHeight="1" thickBot="1">
      <c r="A105" s="7"/>
      <c r="B105" s="56" t="s">
        <v>110</v>
      </c>
      <c r="C105" s="69" t="s">
        <v>39</v>
      </c>
      <c r="D105" s="25">
        <f t="shared" ref="D104:D114" si="27">(H105 - IF(G105="", H105, G105)) / H105</f>
        <v>1</v>
      </c>
      <c r="E105" s="49">
        <v>45482</v>
      </c>
      <c r="F105" s="67">
        <v>45503</v>
      </c>
      <c r="G105" s="22">
        <v>0</v>
      </c>
      <c r="H105" s="22">
        <v>1</v>
      </c>
      <c r="I105" s="43">
        <f t="shared" si="25"/>
        <v>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</row>
    <row r="106" spans="1:65" s="1" customFormat="1" ht="30" customHeight="1" thickBot="1">
      <c r="A106" s="7"/>
      <c r="B106" s="56" t="s">
        <v>131</v>
      </c>
      <c r="C106" s="69" t="s">
        <v>39</v>
      </c>
      <c r="D106" s="25">
        <f t="shared" si="27"/>
        <v>1</v>
      </c>
      <c r="E106" s="49">
        <v>45482</v>
      </c>
      <c r="F106" s="49">
        <v>45503</v>
      </c>
      <c r="G106" s="22">
        <v>0</v>
      </c>
      <c r="H106" s="22">
        <v>1</v>
      </c>
      <c r="I106" s="43">
        <f t="shared" si="25"/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</row>
    <row r="107" spans="1:65" s="1" customFormat="1" ht="30" customHeight="1" thickBot="1">
      <c r="A107" s="7"/>
      <c r="B107" s="56" t="s">
        <v>132</v>
      </c>
      <c r="C107" s="69" t="s">
        <v>39</v>
      </c>
      <c r="D107" s="25">
        <f t="shared" si="27"/>
        <v>1</v>
      </c>
      <c r="E107" s="49">
        <v>45482</v>
      </c>
      <c r="F107" s="67">
        <v>45503</v>
      </c>
      <c r="G107" s="22">
        <v>0</v>
      </c>
      <c r="H107" s="22">
        <v>1</v>
      </c>
      <c r="I107" s="43">
        <f t="shared" si="25"/>
        <v>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</row>
    <row r="108" spans="1:65" s="1" customFormat="1" ht="30" customHeight="1" thickBot="1">
      <c r="A108" s="7"/>
      <c r="B108" s="56" t="s">
        <v>133</v>
      </c>
      <c r="C108" s="69" t="s">
        <v>39</v>
      </c>
      <c r="D108" s="25">
        <f t="shared" si="27"/>
        <v>1</v>
      </c>
      <c r="E108" s="49">
        <v>45482</v>
      </c>
      <c r="F108" s="49">
        <v>45503</v>
      </c>
      <c r="G108" s="22">
        <v>0</v>
      </c>
      <c r="H108" s="22">
        <v>1</v>
      </c>
      <c r="I108" s="43">
        <f t="shared" si="25"/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</row>
    <row r="109" spans="1:65" s="1" customFormat="1" ht="30" customHeight="1" thickBot="1">
      <c r="A109" s="7"/>
      <c r="B109" s="56" t="s">
        <v>134</v>
      </c>
      <c r="C109" s="69" t="s">
        <v>39</v>
      </c>
      <c r="D109" s="25">
        <f t="shared" si="27"/>
        <v>1</v>
      </c>
      <c r="E109" s="49">
        <v>45482</v>
      </c>
      <c r="F109" s="67">
        <v>45503</v>
      </c>
      <c r="G109" s="22">
        <v>0</v>
      </c>
      <c r="H109" s="22">
        <v>1</v>
      </c>
      <c r="I109" s="43">
        <f t="shared" si="25"/>
        <v>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</row>
    <row r="110" spans="1:65" s="1" customFormat="1" ht="30" customHeight="1" thickBot="1">
      <c r="A110" s="7"/>
      <c r="B110" s="56" t="s">
        <v>135</v>
      </c>
      <c r="C110" s="69" t="s">
        <v>39</v>
      </c>
      <c r="D110" s="25">
        <f t="shared" si="27"/>
        <v>1</v>
      </c>
      <c r="E110" s="49">
        <v>45482</v>
      </c>
      <c r="F110" s="49">
        <v>45503</v>
      </c>
      <c r="G110" s="22">
        <v>0</v>
      </c>
      <c r="H110" s="22">
        <v>1</v>
      </c>
      <c r="I110" s="43">
        <f t="shared" si="25"/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</row>
    <row r="111" spans="1:65" s="1" customFormat="1" ht="30" customHeight="1" thickBot="1">
      <c r="A111" s="7"/>
      <c r="B111" s="56" t="s">
        <v>136</v>
      </c>
      <c r="C111" s="69" t="s">
        <v>39</v>
      </c>
      <c r="D111" s="25">
        <f t="shared" si="27"/>
        <v>1</v>
      </c>
      <c r="E111" s="49">
        <v>45482</v>
      </c>
      <c r="F111" s="67">
        <v>45503</v>
      </c>
      <c r="G111" s="22">
        <v>0</v>
      </c>
      <c r="H111" s="22">
        <v>1</v>
      </c>
      <c r="I111" s="43">
        <f t="shared" si="25"/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</row>
    <row r="112" spans="1:65" s="1" customFormat="1" ht="30" customHeight="1" thickBot="1">
      <c r="A112" s="7"/>
      <c r="B112" s="56" t="s">
        <v>137</v>
      </c>
      <c r="C112" s="69" t="s">
        <v>39</v>
      </c>
      <c r="D112" s="25">
        <f t="shared" si="27"/>
        <v>1</v>
      </c>
      <c r="E112" s="49">
        <v>45482</v>
      </c>
      <c r="F112" s="49">
        <v>45503</v>
      </c>
      <c r="G112" s="22">
        <v>0</v>
      </c>
      <c r="H112" s="22">
        <v>1</v>
      </c>
      <c r="I112" s="43">
        <f t="shared" si="25"/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</row>
    <row r="113" spans="1:65" s="1" customFormat="1" ht="30" customHeight="1" thickBot="1">
      <c r="A113" s="7"/>
      <c r="B113" s="56" t="s">
        <v>138</v>
      </c>
      <c r="C113" s="69" t="s">
        <v>39</v>
      </c>
      <c r="D113" s="25">
        <f t="shared" si="27"/>
        <v>1</v>
      </c>
      <c r="E113" s="49">
        <v>45482</v>
      </c>
      <c r="F113" s="67">
        <v>45503</v>
      </c>
      <c r="G113" s="22">
        <v>0</v>
      </c>
      <c r="H113" s="22">
        <v>1</v>
      </c>
      <c r="I113" s="43">
        <f t="shared" si="25"/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</row>
    <row r="114" spans="1:65" s="1" customFormat="1" ht="30" customHeight="1" thickBot="1">
      <c r="A114" s="7"/>
      <c r="B114" s="56" t="s">
        <v>139</v>
      </c>
      <c r="C114" s="69" t="s">
        <v>39</v>
      </c>
      <c r="D114" s="25">
        <f t="shared" si="27"/>
        <v>1</v>
      </c>
      <c r="E114" s="49">
        <v>45482</v>
      </c>
      <c r="F114" s="49">
        <v>45503</v>
      </c>
      <c r="G114" s="22">
        <v>0</v>
      </c>
      <c r="H114" s="22">
        <v>1</v>
      </c>
      <c r="I114" s="43">
        <f t="shared" si="25"/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</row>
  </sheetData>
  <mergeCells count="11">
    <mergeCell ref="AE4:AK4"/>
    <mergeCell ref="AL4:AR4"/>
    <mergeCell ref="AS4:AY4"/>
    <mergeCell ref="AZ4:BF4"/>
    <mergeCell ref="BG4:BM4"/>
    <mergeCell ref="X4:AD4"/>
    <mergeCell ref="C3:D3"/>
    <mergeCell ref="E3:F3"/>
    <mergeCell ref="C4:D4"/>
    <mergeCell ref="J4:P4"/>
    <mergeCell ref="Q4:W4"/>
  </mergeCells>
  <phoneticPr fontId="26"/>
  <conditionalFormatting sqref="D10:D12">
    <cfRule type="dataBar" priority="5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{CAA828D2-0E73-4C72-81C1-C4E366D9EA01}</x14:id>
        </ext>
      </extLst>
    </cfRule>
  </conditionalFormatting>
  <conditionalFormatting sqref="D13:D1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{4F8CA387-B1ED-4674-AA85-32CCFB6A5526}</x14:id>
        </ext>
      </extLst>
    </cfRule>
  </conditionalFormatting>
  <conditionalFormatting sqref="D16:D20">
    <cfRule type="dataBar" priority="5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{37310380-B0CC-4686-A9E4-39DE16726DA6}</x14:id>
        </ext>
      </extLst>
    </cfRule>
  </conditionalFormatting>
  <conditionalFormatting sqref="D21:D22">
    <cfRule type="dataBar" priority="5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{39EE1D8F-B6A0-4080-9771-C0558E40D6DB}</x14:id>
        </ext>
      </extLst>
    </cfRule>
  </conditionalFormatting>
  <conditionalFormatting sqref="D23">
    <cfRule type="dataBar" priority="4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{BADBC2F9-70C7-4255-A7C7-8137AB66055D}</x14:id>
        </ext>
      </extLst>
    </cfRule>
  </conditionalFormatting>
  <conditionalFormatting sqref="D24:D25">
    <cfRule type="dataBar" priority="3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{C765F693-78FF-450A-B955-809BA13146DF}</x14:id>
        </ext>
      </extLst>
    </cfRule>
  </conditionalFormatting>
  <conditionalFormatting sqref="D26:D29 D9">
    <cfRule type="dataBar" priority="5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{F72FCF21-0CC0-4289-B7D6-914551CB3E44}</x14:id>
        </ext>
      </extLst>
    </cfRule>
  </conditionalFormatting>
  <conditionalFormatting sqref="D31">
    <cfRule type="dataBar" priority="4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{6EE2C0E1-CEAE-44C4-BCAB-78C86862568F}</x14:id>
        </ext>
      </extLst>
    </cfRule>
  </conditionalFormatting>
  <conditionalFormatting sqref="D32">
    <cfRule type="dataBar" priority="4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{FC4017CA-3436-4171-BB10-CC8E0479DCFF}</x14:id>
        </ext>
      </extLst>
    </cfRule>
  </conditionalFormatting>
  <conditionalFormatting sqref="D33:D34 D30 D37">
    <cfRule type="dataBar" priority="4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{55D42DE7-061E-4F53-83C8-2FDEC57FD626}</x14:id>
        </ext>
      </extLst>
    </cfRule>
  </conditionalFormatting>
  <conditionalFormatting sqref="D35:D36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{4FF58144-6E62-445D-BE0F-17C905336C6D}</x14:id>
        </ext>
      </extLst>
    </cfRule>
  </conditionalFormatting>
  <conditionalFormatting sqref="D40:D41">
    <cfRule type="dataBar" priority="6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{39AA1C94-D467-4D66-91C3-0AA0912698DA}</x14:id>
        </ext>
      </extLst>
    </cfRule>
  </conditionalFormatting>
  <conditionalFormatting sqref="D42:D44 D7 D80:D114 D38:D39">
    <cfRule type="dataBar" priority="6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{2E504D92-01DC-463E-AB09-170158A33A89}</x14:id>
        </ext>
      </extLst>
    </cfRule>
  </conditionalFormatting>
  <conditionalFormatting sqref="D45">
    <cfRule type="dataBar" priority="4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{9A3971C5-FE7D-472A-AB58-A711AAF2DF23}</x14:id>
        </ext>
      </extLst>
    </cfRule>
  </conditionalFormatting>
  <conditionalFormatting sqref="D46">
    <cfRule type="dataBar" priority="4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{6A24B061-B2BC-4B42-AB9A-16C6322045E5}</x14:id>
        </ext>
      </extLst>
    </cfRule>
  </conditionalFormatting>
  <conditionalFormatting sqref="D47">
    <cfRule type="dataBar" priority="4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{D67BCD06-95EA-4460-9AC6-42A16C370C16}</x14:id>
        </ext>
      </extLst>
    </cfRule>
  </conditionalFormatting>
  <conditionalFormatting sqref="D48">
    <cfRule type="dataBar" priority="4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{AE885E4C-E280-46A2-B7A7-7972B075B997}</x14:id>
        </ext>
      </extLst>
    </cfRule>
  </conditionalFormatting>
  <conditionalFormatting sqref="D49:D53 D8">
    <cfRule type="dataBar" priority="4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{2C281507-BFFB-4ED3-9C25-70903573176E}</x14:id>
        </ext>
      </extLst>
    </cfRule>
  </conditionalFormatting>
  <conditionalFormatting sqref="D54">
    <cfRule type="dataBar" priority="4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{72AFFF6B-4A38-4B25-BC93-7C8D1C3E0040}</x14:id>
        </ext>
      </extLst>
    </cfRule>
  </conditionalFormatting>
  <conditionalFormatting sqref="D55:D56">
    <cfRule type="dataBar" priority="6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{7A9DE023-AD55-4A46-B6AC-45549455DDA4}</x14:id>
        </ext>
      </extLst>
    </cfRule>
  </conditionalFormatting>
  <conditionalFormatting sqref="D57:D59">
    <cfRule type="dataBar" priority="5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{19689808-ED00-44CC-9DF6-F9F93A288338}</x14:id>
        </ext>
      </extLst>
    </cfRule>
  </conditionalFormatting>
  <conditionalFormatting sqref="D60">
    <cfRule type="dataBar" priority="5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{B64D170D-AD1A-4C6B-BB23-3A611BA8E469}</x14:id>
        </ext>
      </extLst>
    </cfRule>
  </conditionalFormatting>
  <conditionalFormatting sqref="D6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{48C1EBF8-D51D-4C34-B994-41C51181735E}</x14:id>
        </ext>
      </extLst>
    </cfRule>
  </conditionalFormatting>
  <conditionalFormatting sqref="D62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{353E975A-4266-4315-971F-A6F3A833F004}</x14:id>
        </ext>
      </extLst>
    </cfRule>
  </conditionalFormatting>
  <conditionalFormatting sqref="D63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{602EF3B8-E475-4A2E-A40E-5640A661471E}</x14:id>
        </ext>
      </extLst>
    </cfRule>
  </conditionalFormatting>
  <conditionalFormatting sqref="D64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{4D490F6E-1B4B-4C2D-8F71-67BD342D42BA}</x14:id>
        </ext>
      </extLst>
    </cfRule>
  </conditionalFormatting>
  <conditionalFormatting sqref="D65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{F9230573-F200-468D-9710-B89FECFE5692}</x14:id>
        </ext>
      </extLst>
    </cfRule>
  </conditionalFormatting>
  <conditionalFormatting sqref="D66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{C2ACB3D8-AB62-4552-BFD7-FFDE25D37369}</x14:id>
        </ext>
      </extLst>
    </cfRule>
  </conditionalFormatting>
  <conditionalFormatting sqref="D6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{EE0CE06D-B742-4C2F-933E-34557FE844F4}</x14:id>
        </ext>
      </extLst>
    </cfRule>
  </conditionalFormatting>
  <conditionalFormatting sqref="D68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{8804EFD4-486D-4616-91F6-D557BA538095}</x14:id>
        </ext>
      </extLst>
    </cfRule>
  </conditionalFormatting>
  <conditionalFormatting sqref="D69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{3574D584-DC0F-4939-A74F-96DFD188CB90}</x14:id>
        </ext>
      </extLst>
    </cfRule>
  </conditionalFormatting>
  <conditionalFormatting sqref="D70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{A575AFFC-BF14-4F00-B856-F170105BD1A8}</x14:id>
        </ext>
      </extLst>
    </cfRule>
  </conditionalFormatting>
  <conditionalFormatting sqref="D71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{ADC62461-83F5-45F0-8DBB-29CA29780585}</x14:id>
        </ext>
      </extLst>
    </cfRule>
  </conditionalFormatting>
  <conditionalFormatting sqref="D72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{8240BF57-C813-4284-980D-D291452B6AB9}</x14:id>
        </ext>
      </extLst>
    </cfRule>
  </conditionalFormatting>
  <conditionalFormatting sqref="D73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{141193C7-80CB-49F9-80D6-0F2942E9561B}</x14:id>
        </ext>
      </extLst>
    </cfRule>
  </conditionalFormatting>
  <conditionalFormatting sqref="D74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{14DE6B35-C6B9-4D72-A8ED-E4A1C6923FA8}</x14:id>
        </ext>
      </extLst>
    </cfRule>
  </conditionalFormatting>
  <conditionalFormatting sqref="D75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{63073533-F25C-4329-B125-55CF3633940B}</x14:id>
        </ext>
      </extLst>
    </cfRule>
  </conditionalFormatting>
  <conditionalFormatting sqref="D76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{791303DD-8309-4A69-ACB0-B89312326E1C}</x14:id>
        </ext>
      </extLst>
    </cfRule>
  </conditionalFormatting>
  <conditionalFormatting sqref="D77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{30F73FD3-DD27-4E21-B1D2-10B28371C6F7}</x14:id>
        </ext>
      </extLst>
    </cfRule>
  </conditionalFormatting>
  <conditionalFormatting sqref="D78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{112A4496-F298-476B-AD5F-7D89FF6E056E}</x14:id>
        </ext>
      </extLst>
    </cfRule>
  </conditionalFormatting>
  <conditionalFormatting sqref="D79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{01E1B3F9-6417-430E-AA98-4A9FE5E8EAB6}</x14:id>
        </ext>
      </extLst>
    </cfRule>
  </conditionalFormatting>
  <conditionalFormatting sqref="J5:BM114">
    <cfRule type="expression" dxfId="3" priority="32" stopIfTrue="1">
      <formula>AND($E5&lt;=J$5, J$5&lt;=$F5, $F5&gt;0)</formula>
    </cfRule>
    <cfRule type="expression" dxfId="2" priority="31">
      <formula>AND($E5&lt;=J$5, J$5 &lt;= WORKDAY($E5, IF($G5="", -1, $H5 - $G5-1),_祝日), $F5&gt;0)</formula>
    </cfRule>
    <cfRule type="expression" dxfId="1" priority="30">
      <formula>NETWORKDAYS(J$5,J$5, _祝日)=0</formula>
    </cfRule>
    <cfRule type="expression" dxfId="0" priority="29">
      <formula>AND(TODAY()&gt;=J$5,TODAY()&lt;K$5)</formula>
    </cfRule>
  </conditionalFormatting>
  <dataValidations count="2">
    <dataValidation type="list" allowBlank="1" showInputMessage="1" showErrorMessage="1" sqref="G8:H79 G81:H114" xr:uid="{00000000-0002-0000-0000-000000000000}">
      <formula1>"0,1,2,3,4,5,6,7,8,9,10,11,12,13,14,15,16,17,18,19,20,21,22,23,24,25,26,27,28,29,30,31,32,33,34,35,36,37,38,39,40,41,42,43,44,45,46,47,48,49,50,51,52,53,54,55,56,57,58,59,60,61,62,63,64,65,66,67,68,69,70,71,72,73,74,75,76,77,78,79,80,81,82"</formula1>
    </dataValidation>
    <dataValidation type="list" operator="greaterThanOrEqual" allowBlank="1" showInputMessage="1" promptTitle="週表示" prompt="この数字を変更すると、ガント チャート ビューがスクロールされます。" sqref="E4" xr:uid="{00000000-0002-0000-0000-000001000000}">
      <formula1>"-5,-4,-3,-2,-1,0,1,2,3,4,5,6,7,8,9,10,11,12,13,14,15,16,17,18,19,20,21,22,23,24,25,26,27,28,29,30,31,32,33,34,35,36,37,38,39,40,41,42,43,44,45,46,47,48,49,50,51,52,53,54,55,56,57,58,59,60,61,62,63,64,65,66,67,68,69,70,71,72,73,74,75,76,77,78,79,80,81,82"</formula1>
    </dataValidation>
  </dataValidations>
  <printOptions horizontalCentered="1"/>
  <pageMargins left="0.35" right="0.35" top="0.35" bottom="0.5" header="0.3" footer="0.3"/>
  <pageSetup paperSize="9" scale="49" fitToHeight="0" orientation="landscape" r:id="rId1"/>
  <headerFooter differentFirst="1"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A828D2-0E73-4C72-81C1-C4E366D9EA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D10:D12</xm:sqref>
        </x14:conditionalFormatting>
        <x14:conditionalFormatting xmlns:xm="http://schemas.microsoft.com/office/excel/2006/main">
          <x14:cfRule type="dataBar" id="{4F8CA387-B1ED-4674-AA85-32CCFB6A55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D13:D15</xm:sqref>
        </x14:conditionalFormatting>
        <x14:conditionalFormatting xmlns:xm="http://schemas.microsoft.com/office/excel/2006/main">
          <x14:cfRule type="dataBar" id="{37310380-B0CC-4686-A9E4-39DE16726D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D16:D20</xm:sqref>
        </x14:conditionalFormatting>
        <x14:conditionalFormatting xmlns:xm="http://schemas.microsoft.com/office/excel/2006/main">
          <x14:cfRule type="dataBar" id="{39EE1D8F-B6A0-4080-9771-C0558E40D6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D21:D22</xm:sqref>
        </x14:conditionalFormatting>
        <x14:conditionalFormatting xmlns:xm="http://schemas.microsoft.com/office/excel/2006/main">
          <x14:cfRule type="dataBar" id="{BADBC2F9-70C7-4255-A7C7-8137AB6605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D23</xm:sqref>
        </x14:conditionalFormatting>
        <x14:conditionalFormatting xmlns:xm="http://schemas.microsoft.com/office/excel/2006/main">
          <x14:cfRule type="dataBar" id="{C765F693-78FF-450A-B955-809BA13146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D24:D25</xm:sqref>
        </x14:conditionalFormatting>
        <x14:conditionalFormatting xmlns:xm="http://schemas.microsoft.com/office/excel/2006/main">
          <x14:cfRule type="dataBar" id="{F72FCF21-0CC0-4289-B7D6-914551CB3E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D26:D29 D9</xm:sqref>
        </x14:conditionalFormatting>
        <x14:conditionalFormatting xmlns:xm="http://schemas.microsoft.com/office/excel/2006/main">
          <x14:cfRule type="dataBar" id="{6EE2C0E1-CEAE-44C4-BCAB-78C8686256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D31</xm:sqref>
        </x14:conditionalFormatting>
        <x14:conditionalFormatting xmlns:xm="http://schemas.microsoft.com/office/excel/2006/main">
          <x14:cfRule type="dataBar" id="{FC4017CA-3436-4171-BB10-CC8E0479DC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D32</xm:sqref>
        </x14:conditionalFormatting>
        <x14:conditionalFormatting xmlns:xm="http://schemas.microsoft.com/office/excel/2006/main">
          <x14:cfRule type="dataBar" id="{55D42DE7-061E-4F53-83C8-2FDEC57FD6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D33:D34 D30 D37</xm:sqref>
        </x14:conditionalFormatting>
        <x14:conditionalFormatting xmlns:xm="http://schemas.microsoft.com/office/excel/2006/main">
          <x14:cfRule type="dataBar" id="{4FF58144-6E62-445D-BE0F-17C905336C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D35:D36</xm:sqref>
        </x14:conditionalFormatting>
        <x14:conditionalFormatting xmlns:xm="http://schemas.microsoft.com/office/excel/2006/main">
          <x14:cfRule type="dataBar" id="{39AA1C94-D467-4D66-91C3-0AA0912698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D40:D41</xm:sqref>
        </x14:conditionalFormatting>
        <x14:conditionalFormatting xmlns:xm="http://schemas.microsoft.com/office/excel/2006/main">
          <x14:cfRule type="dataBar" id="{2E504D92-01DC-463E-AB09-170158A33A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D42:D44 D7 D80:D114 D38:D39</xm:sqref>
        </x14:conditionalFormatting>
        <x14:conditionalFormatting xmlns:xm="http://schemas.microsoft.com/office/excel/2006/main">
          <x14:cfRule type="dataBar" id="{9A3971C5-FE7D-472A-AB58-A711AAF2DF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D45</xm:sqref>
        </x14:conditionalFormatting>
        <x14:conditionalFormatting xmlns:xm="http://schemas.microsoft.com/office/excel/2006/main">
          <x14:cfRule type="dataBar" id="{6A24B061-B2BC-4B42-AB9A-16C6322045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D46</xm:sqref>
        </x14:conditionalFormatting>
        <x14:conditionalFormatting xmlns:xm="http://schemas.microsoft.com/office/excel/2006/main">
          <x14:cfRule type="dataBar" id="{D67BCD06-95EA-4460-9AC6-42A16C370C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D47</xm:sqref>
        </x14:conditionalFormatting>
        <x14:conditionalFormatting xmlns:xm="http://schemas.microsoft.com/office/excel/2006/main">
          <x14:cfRule type="dataBar" id="{AE885E4C-E280-46A2-B7A7-7972B075B9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D48</xm:sqref>
        </x14:conditionalFormatting>
        <x14:conditionalFormatting xmlns:xm="http://schemas.microsoft.com/office/excel/2006/main">
          <x14:cfRule type="dataBar" id="{2C281507-BFFB-4ED3-9C25-7090357317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D49:D53 D8</xm:sqref>
        </x14:conditionalFormatting>
        <x14:conditionalFormatting xmlns:xm="http://schemas.microsoft.com/office/excel/2006/main">
          <x14:cfRule type="dataBar" id="{72AFFF6B-4A38-4B25-BC93-7C8D1C3E00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D54</xm:sqref>
        </x14:conditionalFormatting>
        <x14:conditionalFormatting xmlns:xm="http://schemas.microsoft.com/office/excel/2006/main">
          <x14:cfRule type="dataBar" id="{7A9DE023-AD55-4A46-B6AC-45549455DD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D55:D56</xm:sqref>
        </x14:conditionalFormatting>
        <x14:conditionalFormatting xmlns:xm="http://schemas.microsoft.com/office/excel/2006/main">
          <x14:cfRule type="dataBar" id="{19689808-ED00-44CC-9DF6-F9F93A2883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D57:D59</xm:sqref>
        </x14:conditionalFormatting>
        <x14:conditionalFormatting xmlns:xm="http://schemas.microsoft.com/office/excel/2006/main">
          <x14:cfRule type="dataBar" id="{B64D170D-AD1A-4C6B-BB23-3A611BA8E4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D60</xm:sqref>
        </x14:conditionalFormatting>
        <x14:conditionalFormatting xmlns:xm="http://schemas.microsoft.com/office/excel/2006/main">
          <x14:cfRule type="dataBar" id="{48C1EBF8-D51D-4C34-B994-41C511817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D61</xm:sqref>
        </x14:conditionalFormatting>
        <x14:conditionalFormatting xmlns:xm="http://schemas.microsoft.com/office/excel/2006/main">
          <x14:cfRule type="dataBar" id="{353E975A-4266-4315-971F-A6F3A833F0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D62</xm:sqref>
        </x14:conditionalFormatting>
        <x14:conditionalFormatting xmlns:xm="http://schemas.microsoft.com/office/excel/2006/main">
          <x14:cfRule type="dataBar" id="{602EF3B8-E475-4A2E-A40E-5640A66147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D63</xm:sqref>
        </x14:conditionalFormatting>
        <x14:conditionalFormatting xmlns:xm="http://schemas.microsoft.com/office/excel/2006/main">
          <x14:cfRule type="dataBar" id="{4D490F6E-1B4B-4C2D-8F71-67BD342D42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D64</xm:sqref>
        </x14:conditionalFormatting>
        <x14:conditionalFormatting xmlns:xm="http://schemas.microsoft.com/office/excel/2006/main">
          <x14:cfRule type="dataBar" id="{F9230573-F200-468D-9710-B89FECFE56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D65</xm:sqref>
        </x14:conditionalFormatting>
        <x14:conditionalFormatting xmlns:xm="http://schemas.microsoft.com/office/excel/2006/main">
          <x14:cfRule type="dataBar" id="{C2ACB3D8-AB62-4552-BFD7-FFDE25D373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D66</xm:sqref>
        </x14:conditionalFormatting>
        <x14:conditionalFormatting xmlns:xm="http://schemas.microsoft.com/office/excel/2006/main">
          <x14:cfRule type="dataBar" id="{EE0CE06D-B742-4C2F-933E-34557FE844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D67</xm:sqref>
        </x14:conditionalFormatting>
        <x14:conditionalFormatting xmlns:xm="http://schemas.microsoft.com/office/excel/2006/main">
          <x14:cfRule type="dataBar" id="{8804EFD4-486D-4616-91F6-D557BA5380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D68</xm:sqref>
        </x14:conditionalFormatting>
        <x14:conditionalFormatting xmlns:xm="http://schemas.microsoft.com/office/excel/2006/main">
          <x14:cfRule type="dataBar" id="{3574D584-DC0F-4939-A74F-96DFD188CB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D69</xm:sqref>
        </x14:conditionalFormatting>
        <x14:conditionalFormatting xmlns:xm="http://schemas.microsoft.com/office/excel/2006/main">
          <x14:cfRule type="dataBar" id="{A575AFFC-BF14-4F00-B856-F170105BD1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D70</xm:sqref>
        </x14:conditionalFormatting>
        <x14:conditionalFormatting xmlns:xm="http://schemas.microsoft.com/office/excel/2006/main">
          <x14:cfRule type="dataBar" id="{ADC62461-83F5-45F0-8DBB-29CA297805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D71</xm:sqref>
        </x14:conditionalFormatting>
        <x14:conditionalFormatting xmlns:xm="http://schemas.microsoft.com/office/excel/2006/main">
          <x14:cfRule type="dataBar" id="{8240BF57-C813-4284-980D-D291452B6A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D72</xm:sqref>
        </x14:conditionalFormatting>
        <x14:conditionalFormatting xmlns:xm="http://schemas.microsoft.com/office/excel/2006/main">
          <x14:cfRule type="dataBar" id="{141193C7-80CB-49F9-80D6-0F2942E956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D73</xm:sqref>
        </x14:conditionalFormatting>
        <x14:conditionalFormatting xmlns:xm="http://schemas.microsoft.com/office/excel/2006/main">
          <x14:cfRule type="dataBar" id="{14DE6B35-C6B9-4D72-A8ED-E4A1C6923F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D74</xm:sqref>
        </x14:conditionalFormatting>
        <x14:conditionalFormatting xmlns:xm="http://schemas.microsoft.com/office/excel/2006/main">
          <x14:cfRule type="dataBar" id="{63073533-F25C-4329-B125-55CF363394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D75</xm:sqref>
        </x14:conditionalFormatting>
        <x14:conditionalFormatting xmlns:xm="http://schemas.microsoft.com/office/excel/2006/main">
          <x14:cfRule type="dataBar" id="{791303DD-8309-4A69-ACB0-B89312326E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D76</xm:sqref>
        </x14:conditionalFormatting>
        <x14:conditionalFormatting xmlns:xm="http://schemas.microsoft.com/office/excel/2006/main">
          <x14:cfRule type="dataBar" id="{30F73FD3-DD27-4E21-B1D2-10B28371C6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D77</xm:sqref>
        </x14:conditionalFormatting>
        <x14:conditionalFormatting xmlns:xm="http://schemas.microsoft.com/office/excel/2006/main">
          <x14:cfRule type="dataBar" id="{112A4496-F298-476B-AD5F-7D89FF6E05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D78</xm:sqref>
        </x14:conditionalFormatting>
        <x14:conditionalFormatting xmlns:xm="http://schemas.microsoft.com/office/excel/2006/main">
          <x14:cfRule type="dataBar" id="{01E1B3F9-6417-430E-AA98-4A9FE5E8EA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6"/>
  <sheetViews>
    <sheetView topLeftCell="A10" workbookViewId="0">
      <selection activeCell="B2" sqref="B2"/>
    </sheetView>
  </sheetViews>
  <sheetFormatPr defaultRowHeight="15"/>
  <cols>
    <col min="2" max="2" width="11.33203125" customWidth="1"/>
    <col min="3" max="3" width="12.33203125" customWidth="1"/>
    <col min="4" max="4" width="11.109375" customWidth="1"/>
  </cols>
  <sheetData>
    <row r="1" spans="2:4">
      <c r="B1" s="41">
        <v>2022</v>
      </c>
      <c r="C1" s="41">
        <v>2023</v>
      </c>
      <c r="D1" s="41">
        <v>2024</v>
      </c>
    </row>
    <row r="2" spans="2:4">
      <c r="B2" s="42">
        <v>44562</v>
      </c>
      <c r="C2" s="42">
        <v>44927</v>
      </c>
      <c r="D2" s="42">
        <v>45292</v>
      </c>
    </row>
    <row r="3" spans="2:4">
      <c r="B3" s="42">
        <v>44563</v>
      </c>
      <c r="C3" s="42">
        <v>44928</v>
      </c>
      <c r="D3" s="42">
        <v>45293</v>
      </c>
    </row>
    <row r="4" spans="2:4">
      <c r="B4" s="42">
        <v>44564</v>
      </c>
      <c r="C4" s="42">
        <v>44929</v>
      </c>
      <c r="D4" s="42">
        <v>45294</v>
      </c>
    </row>
    <row r="5" spans="2:4">
      <c r="B5" s="42">
        <v>44571</v>
      </c>
      <c r="C5" s="42">
        <v>44935</v>
      </c>
      <c r="D5" s="42">
        <v>45299</v>
      </c>
    </row>
    <row r="6" spans="2:4">
      <c r="B6" s="42">
        <v>44603</v>
      </c>
      <c r="C6" s="42">
        <v>44968</v>
      </c>
      <c r="D6" s="42">
        <v>45334</v>
      </c>
    </row>
    <row r="7" spans="2:4">
      <c r="B7" s="42">
        <v>44615</v>
      </c>
      <c r="C7" s="42">
        <v>44980</v>
      </c>
      <c r="D7" s="42">
        <v>45345</v>
      </c>
    </row>
    <row r="8" spans="2:4">
      <c r="B8" s="42">
        <v>44641</v>
      </c>
      <c r="C8" s="42">
        <v>45006</v>
      </c>
      <c r="D8" s="42">
        <v>45371</v>
      </c>
    </row>
    <row r="9" spans="2:4">
      <c r="B9" s="42">
        <v>44680</v>
      </c>
      <c r="C9" s="42">
        <v>45045</v>
      </c>
      <c r="D9" s="42">
        <v>45411</v>
      </c>
    </row>
    <row r="10" spans="2:4">
      <c r="B10" s="42">
        <v>44681</v>
      </c>
      <c r="C10" s="42">
        <v>45046</v>
      </c>
      <c r="D10" s="42">
        <v>45412</v>
      </c>
    </row>
    <row r="11" spans="2:4">
      <c r="B11" s="42">
        <v>44682</v>
      </c>
      <c r="C11" s="42">
        <v>45047</v>
      </c>
      <c r="D11" s="42">
        <v>45413</v>
      </c>
    </row>
    <row r="12" spans="2:4">
      <c r="B12" s="42">
        <v>44683</v>
      </c>
      <c r="C12" s="42">
        <v>45048</v>
      </c>
      <c r="D12" s="42">
        <v>45414</v>
      </c>
    </row>
    <row r="13" spans="2:4">
      <c r="B13" s="42">
        <v>44684</v>
      </c>
      <c r="C13" s="42">
        <v>45049</v>
      </c>
      <c r="D13" s="42">
        <v>45415</v>
      </c>
    </row>
    <row r="14" spans="2:4">
      <c r="B14" s="42">
        <v>44685</v>
      </c>
      <c r="C14" s="42">
        <v>45050</v>
      </c>
      <c r="D14" s="42">
        <v>45416</v>
      </c>
    </row>
    <row r="15" spans="2:4">
      <c r="B15" s="42">
        <v>44686</v>
      </c>
      <c r="C15" s="42">
        <v>45051</v>
      </c>
      <c r="D15" s="42">
        <v>45417</v>
      </c>
    </row>
    <row r="16" spans="2:4">
      <c r="B16" s="42">
        <v>44760</v>
      </c>
      <c r="C16" s="42">
        <v>45125</v>
      </c>
      <c r="D16" s="42">
        <v>45418</v>
      </c>
    </row>
    <row r="17" spans="2:4">
      <c r="B17" s="42">
        <v>44784</v>
      </c>
      <c r="C17" s="42">
        <v>45149</v>
      </c>
      <c r="D17" s="42">
        <v>45491</v>
      </c>
    </row>
    <row r="18" spans="2:4">
      <c r="B18" s="42">
        <v>44823</v>
      </c>
      <c r="C18" s="42">
        <v>45187</v>
      </c>
      <c r="D18" s="42">
        <v>45515</v>
      </c>
    </row>
    <row r="19" spans="2:4">
      <c r="B19" s="42">
        <v>44827</v>
      </c>
      <c r="C19" s="42">
        <v>45192</v>
      </c>
      <c r="D19" s="42">
        <v>45553</v>
      </c>
    </row>
    <row r="20" spans="2:4">
      <c r="B20" s="42">
        <v>44844</v>
      </c>
      <c r="C20" s="42">
        <v>45208</v>
      </c>
      <c r="D20" s="42">
        <v>45558</v>
      </c>
    </row>
    <row r="21" spans="2:4">
      <c r="B21" s="42">
        <v>44868</v>
      </c>
      <c r="C21" s="42">
        <v>45233</v>
      </c>
      <c r="D21" s="42">
        <v>45574</v>
      </c>
    </row>
    <row r="22" spans="2:4">
      <c r="B22" s="42">
        <v>44888</v>
      </c>
      <c r="C22" s="42">
        <v>45253</v>
      </c>
      <c r="D22" s="42">
        <v>45599</v>
      </c>
    </row>
    <row r="23" spans="2:4">
      <c r="B23" s="42">
        <v>44924</v>
      </c>
      <c r="C23" s="42">
        <v>45289</v>
      </c>
      <c r="D23" s="42">
        <v>45619</v>
      </c>
    </row>
    <row r="24" spans="2:4">
      <c r="B24" s="42">
        <v>44925</v>
      </c>
      <c r="C24" s="42">
        <v>45290</v>
      </c>
      <c r="D24" s="42">
        <v>45655</v>
      </c>
    </row>
    <row r="25" spans="2:4">
      <c r="B25" s="42">
        <v>44926</v>
      </c>
      <c r="C25" s="42">
        <v>45291</v>
      </c>
      <c r="D25" s="42">
        <v>45656</v>
      </c>
    </row>
    <row r="26" spans="2:4">
      <c r="D26" s="42">
        <v>45657</v>
      </c>
    </row>
  </sheetData>
  <phoneticPr fontId="2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topLeftCell="A6" zoomScaleNormal="100" workbookViewId="0">
      <selection activeCell="A10" sqref="A10"/>
    </sheetView>
  </sheetViews>
  <sheetFormatPr defaultColWidth="9" defaultRowHeight="13.5"/>
  <cols>
    <col min="1" max="1" width="87" style="26" customWidth="1"/>
    <col min="2" max="16384" width="9" style="27"/>
  </cols>
  <sheetData>
    <row r="1" spans="1:2" ht="46.5" customHeight="1"/>
    <row r="2" spans="1:2" s="29" customFormat="1" ht="15.95">
      <c r="A2" s="28" t="s">
        <v>140</v>
      </c>
      <c r="B2" s="28"/>
    </row>
    <row r="3" spans="1:2" s="32" customFormat="1" ht="27" customHeight="1">
      <c r="A3" s="30" t="s">
        <v>141</v>
      </c>
      <c r="B3" s="31"/>
    </row>
    <row r="4" spans="1:2" s="34" customFormat="1" ht="26.45">
      <c r="A4" s="33" t="s">
        <v>142</v>
      </c>
    </row>
    <row r="5" spans="1:2" ht="60" customHeight="1">
      <c r="A5" s="35" t="s">
        <v>143</v>
      </c>
    </row>
    <row r="6" spans="1:2" ht="26.25" customHeight="1">
      <c r="A6" s="33" t="s">
        <v>144</v>
      </c>
    </row>
    <row r="7" spans="1:2" s="26" customFormat="1" ht="204.95" customHeight="1">
      <c r="A7" s="36" t="s">
        <v>145</v>
      </c>
    </row>
    <row r="8" spans="1:2" s="34" customFormat="1" ht="26.45">
      <c r="A8" s="33" t="s">
        <v>146</v>
      </c>
    </row>
    <row r="9" spans="1:2" ht="45">
      <c r="A9" s="35" t="s">
        <v>147</v>
      </c>
    </row>
    <row r="10" spans="1:2" s="26" customFormat="1" ht="27.95" customHeight="1">
      <c r="A10" s="37" t="s">
        <v>148</v>
      </c>
    </row>
    <row r="11" spans="1:2" s="34" customFormat="1" ht="26.45">
      <c r="A11" s="33" t="s">
        <v>149</v>
      </c>
    </row>
    <row r="12" spans="1:2" ht="30">
      <c r="A12" s="35" t="s">
        <v>150</v>
      </c>
    </row>
    <row r="13" spans="1:2" s="26" customFormat="1" ht="27.95" customHeight="1">
      <c r="A13" s="37" t="s">
        <v>151</v>
      </c>
    </row>
    <row r="14" spans="1:2" s="34" customFormat="1" ht="26.45">
      <c r="A14" s="33" t="s">
        <v>152</v>
      </c>
    </row>
    <row r="15" spans="1:2" ht="64.5" customHeight="1">
      <c r="A15" s="35" t="s">
        <v>153</v>
      </c>
    </row>
    <row r="16" spans="1:2" ht="45">
      <c r="A16" s="35" t="s">
        <v>154</v>
      </c>
    </row>
  </sheetData>
  <phoneticPr fontId="26"/>
  <hyperlinks>
    <hyperlink ref="A13" r:id="rId1" xr:uid="{00000000-0004-0000-0200-000000000000}"/>
    <hyperlink ref="A10" r:id="rId2" xr:uid="{00000000-0004-0000-0200-000001000000}"/>
    <hyperlink ref="A3" r:id="rId3" xr:uid="{00000000-0004-0000-0200-000002000000}"/>
    <hyperlink ref="A2" r:id="rId4" xr:uid="{00000000-0004-0000-0200-000003000000}"/>
  </hyperlinks>
  <pageMargins left="0.5" right="0.5" top="0.5" bottom="0.5" header="0.3" footer="0.3"/>
  <pageSetup paperSize="9" orientation="portrait" r:id="rId5"/>
  <rowBreaks count="1" manualBreakCount="1">
    <brk id="15" max="16383" man="1"/>
  </rowBreaks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7279c2-b1bd-4e0a-bcc9-ec1afb9cdc63" xsi:nil="true"/>
    <lcf76f155ced4ddcb4097134ff3c332f xmlns="f02069cb-13a3-4fd6-a3e2-8932e1c902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D5BEB137ACF64FA38066D11B4B13E0" ma:contentTypeVersion="13" ma:contentTypeDescription="新しいドキュメントを作成します。" ma:contentTypeScope="" ma:versionID="1694e3c0e1d9caed93c773f23d4296cb">
  <xsd:schema xmlns:xsd="http://www.w3.org/2001/XMLSchema" xmlns:xs="http://www.w3.org/2001/XMLSchema" xmlns:p="http://schemas.microsoft.com/office/2006/metadata/properties" xmlns:ns2="f02069cb-13a3-4fd6-a3e2-8932e1c9020a" xmlns:ns3="377279c2-b1bd-4e0a-bcc9-ec1afb9cdc63" targetNamespace="http://schemas.microsoft.com/office/2006/metadata/properties" ma:root="true" ma:fieldsID="bf03b5f825f6479d01d4f1748137c197" ns2:_="" ns3:_="">
    <xsd:import namespace="f02069cb-13a3-4fd6-a3e2-8932e1c9020a"/>
    <xsd:import namespace="377279c2-b1bd-4e0a-bcc9-ec1afb9cd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069cb-13a3-4fd6-a3e2-8932e1c90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279c2-b1bd-4e0a-bcc9-ec1afb9cdc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bfd7bd-aaf5-48d8-8a50-feeef9c9f2c8}" ma:internalName="TaxCatchAll" ma:showField="CatchAllData" ma:web="377279c2-b1bd-4e0a-bcc9-ec1afb9cdc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328E3C-1B52-48B8-B307-16B6B55CE68E}"/>
</file>

<file path=customXml/itemProps2.xml><?xml version="1.0" encoding="utf-8"?>
<ds:datastoreItem xmlns:ds="http://schemas.openxmlformats.org/officeDocument/2006/customXml" ds:itemID="{9F554A1D-1304-48EF-9B41-2EC6908BF666}"/>
</file>

<file path=customXml/itemProps3.xml><?xml version="1.0" encoding="utf-8"?>
<ds:datastoreItem xmlns:ds="http://schemas.openxmlformats.org/officeDocument/2006/customXml" ds:itemID="{C2E1C2CA-03FF-43B8-BCB9-FD3156D46530}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髙田　陽斗</cp:lastModifiedBy>
  <cp:revision/>
  <dcterms:created xsi:type="dcterms:W3CDTF">2023-01-08T00:24:57Z</dcterms:created>
  <dcterms:modified xsi:type="dcterms:W3CDTF">2024-07-17T03:17:36Z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0x0101008AD5BEB137ACF64FA38066D11B4B13E0</vt:lpwstr>
  </property>
</Properties>
</file>